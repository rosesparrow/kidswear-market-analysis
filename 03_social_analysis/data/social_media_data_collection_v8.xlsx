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ewabreiler/Documents/kidswear-market-analysis/03_social_analysis/data/"/>
    </mc:Choice>
  </mc:AlternateContent>
  <xr:revisionPtr revIDLastSave="0" documentId="8_{B52A3F18-F37A-5B44-A709-B82904EE7D47}" xr6:coauthVersionLast="47" xr6:coauthVersionMax="47" xr10:uidLastSave="{00000000-0000-0000-0000-000000000000}"/>
  <bookViews>
    <workbookView xWindow="4280" yWindow="2580" windowWidth="27720" windowHeight="15900" tabRatio="500" xr2:uid="{00000000-000D-0000-FFFF-FFFF00000000}"/>
  </bookViews>
  <sheets>
    <sheet name="Instagram" sheetId="1" r:id="rId1"/>
    <sheet name="TikTok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3" l="1"/>
  <c r="G24" i="3"/>
  <c r="D24" i="3"/>
  <c r="J24" i="3" s="1"/>
  <c r="H23" i="3"/>
  <c r="G23" i="3"/>
  <c r="D23" i="3"/>
  <c r="J23" i="3" s="1"/>
  <c r="H22" i="3"/>
  <c r="G22" i="3"/>
  <c r="D22" i="3"/>
  <c r="J22" i="3" s="1"/>
  <c r="H21" i="3"/>
  <c r="G21" i="3"/>
  <c r="D21" i="3"/>
  <c r="J21" i="3" s="1"/>
  <c r="H20" i="3"/>
  <c r="G20" i="3"/>
  <c r="D20" i="3"/>
  <c r="J20" i="3" s="1"/>
  <c r="H19" i="3"/>
  <c r="G19" i="3"/>
  <c r="D19" i="3"/>
  <c r="J19" i="3" s="1"/>
  <c r="H18" i="3"/>
  <c r="G18" i="3"/>
  <c r="D18" i="3"/>
  <c r="J18" i="3" s="1"/>
  <c r="H17" i="3"/>
  <c r="G17" i="3"/>
  <c r="D17" i="3"/>
  <c r="J17" i="3" s="1"/>
  <c r="H16" i="3"/>
  <c r="G16" i="3"/>
  <c r="D16" i="3"/>
  <c r="J16" i="3" s="1"/>
  <c r="H15" i="3"/>
  <c r="G15" i="3"/>
  <c r="D15" i="3"/>
  <c r="J15" i="3" s="1"/>
  <c r="J14" i="3"/>
  <c r="H14" i="3"/>
  <c r="G14" i="3"/>
  <c r="D14" i="3"/>
  <c r="H13" i="3"/>
  <c r="G13" i="3"/>
  <c r="D13" i="3"/>
  <c r="J13" i="3" s="1"/>
  <c r="H12" i="3"/>
  <c r="G12" i="3"/>
  <c r="D12" i="3"/>
  <c r="J12" i="3" s="1"/>
  <c r="H11" i="3"/>
  <c r="G11" i="3"/>
  <c r="D11" i="3"/>
  <c r="J11" i="3" s="1"/>
  <c r="H10" i="3"/>
  <c r="G10" i="3"/>
  <c r="D10" i="3"/>
  <c r="J10" i="3" s="1"/>
  <c r="H9" i="3"/>
  <c r="G9" i="3"/>
  <c r="D9" i="3"/>
  <c r="J9" i="3" s="1"/>
  <c r="H8" i="3"/>
  <c r="G8" i="3"/>
  <c r="D8" i="3"/>
  <c r="J8" i="3" s="1"/>
  <c r="H7" i="3"/>
  <c r="G7" i="3"/>
  <c r="D7" i="3"/>
  <c r="J7" i="3" s="1"/>
  <c r="H6" i="3"/>
  <c r="G6" i="3"/>
  <c r="D6" i="3"/>
  <c r="J6" i="3" s="1"/>
  <c r="H5" i="3"/>
  <c r="G5" i="3"/>
  <c r="D5" i="3"/>
  <c r="J5" i="3" s="1"/>
  <c r="H4" i="3"/>
  <c r="G4" i="3"/>
  <c r="D4" i="3"/>
  <c r="J4" i="3" s="1"/>
  <c r="K24" i="2"/>
  <c r="I24" i="3" s="1"/>
  <c r="K23" i="2"/>
  <c r="I23" i="3" s="1"/>
  <c r="K22" i="2"/>
  <c r="I22" i="3" s="1"/>
  <c r="K21" i="2"/>
  <c r="I21" i="3" s="1"/>
  <c r="K20" i="2"/>
  <c r="I20" i="3" s="1"/>
  <c r="K19" i="2"/>
  <c r="I19" i="3" s="1"/>
  <c r="K18" i="2"/>
  <c r="I18" i="3" s="1"/>
  <c r="K17" i="2"/>
  <c r="I17" i="3" s="1"/>
  <c r="K16" i="2"/>
  <c r="I16" i="3" s="1"/>
  <c r="K15" i="2"/>
  <c r="I15" i="3" s="1"/>
  <c r="K14" i="2"/>
  <c r="I14" i="3" s="1"/>
  <c r="K13" i="2"/>
  <c r="I13" i="3" s="1"/>
  <c r="K12" i="2"/>
  <c r="I12" i="3" s="1"/>
  <c r="K11" i="2"/>
  <c r="I11" i="3" s="1"/>
  <c r="K10" i="2"/>
  <c r="I10" i="3" s="1"/>
  <c r="K9" i="2"/>
  <c r="I9" i="3" s="1"/>
  <c r="K8" i="2"/>
  <c r="I8" i="3" s="1"/>
  <c r="K7" i="2"/>
  <c r="I7" i="3" s="1"/>
  <c r="K6" i="2"/>
  <c r="I6" i="3" s="1"/>
  <c r="K5" i="2"/>
  <c r="I5" i="3" s="1"/>
  <c r="K4" i="2"/>
  <c r="I4" i="3" s="1"/>
  <c r="N25" i="1"/>
  <c r="E24" i="3" s="1"/>
  <c r="G25" i="1"/>
  <c r="F24" i="3" s="1"/>
  <c r="N24" i="1"/>
  <c r="E23" i="3" s="1"/>
  <c r="G24" i="1"/>
  <c r="F23" i="3" s="1"/>
  <c r="N23" i="1"/>
  <c r="E22" i="3" s="1"/>
  <c r="G23" i="1"/>
  <c r="F22" i="3" s="1"/>
  <c r="N22" i="1"/>
  <c r="E21" i="3" s="1"/>
  <c r="G22" i="1"/>
  <c r="F21" i="3" s="1"/>
  <c r="N21" i="1"/>
  <c r="E20" i="3" s="1"/>
  <c r="G21" i="1"/>
  <c r="F20" i="3" s="1"/>
  <c r="N20" i="1"/>
  <c r="E19" i="3" s="1"/>
  <c r="G20" i="1"/>
  <c r="F19" i="3" s="1"/>
  <c r="N19" i="1"/>
  <c r="E18" i="3" s="1"/>
  <c r="G19" i="1"/>
  <c r="F18" i="3" s="1"/>
  <c r="N18" i="1"/>
  <c r="E17" i="3" s="1"/>
  <c r="G18" i="1"/>
  <c r="F17" i="3" s="1"/>
  <c r="N17" i="1"/>
  <c r="E16" i="3" s="1"/>
  <c r="G17" i="1"/>
  <c r="F16" i="3" s="1"/>
  <c r="N16" i="1"/>
  <c r="E15" i="3" s="1"/>
  <c r="G16" i="1"/>
  <c r="F15" i="3" s="1"/>
  <c r="N15" i="1"/>
  <c r="E14" i="3" s="1"/>
  <c r="G15" i="1"/>
  <c r="F14" i="3" s="1"/>
  <c r="N14" i="1"/>
  <c r="E13" i="3" s="1"/>
  <c r="G14" i="1"/>
  <c r="F13" i="3" s="1"/>
  <c r="N13" i="1"/>
  <c r="E12" i="3" s="1"/>
  <c r="G13" i="1"/>
  <c r="F12" i="3" s="1"/>
  <c r="N12" i="1"/>
  <c r="E11" i="3" s="1"/>
  <c r="G12" i="1"/>
  <c r="F11" i="3" s="1"/>
  <c r="N11" i="1"/>
  <c r="E10" i="3" s="1"/>
  <c r="G11" i="1"/>
  <c r="F10" i="3" s="1"/>
  <c r="N10" i="1"/>
  <c r="E9" i="3" s="1"/>
  <c r="G10" i="1"/>
  <c r="F9" i="3" s="1"/>
  <c r="N9" i="1"/>
  <c r="E8" i="3" s="1"/>
  <c r="G9" i="1"/>
  <c r="F8" i="3" s="1"/>
  <c r="N8" i="1"/>
  <c r="E7" i="3" s="1"/>
  <c r="G8" i="1"/>
  <c r="F7" i="3" s="1"/>
  <c r="N7" i="1"/>
  <c r="E6" i="3" s="1"/>
  <c r="G7" i="1"/>
  <c r="F6" i="3" s="1"/>
  <c r="N6" i="1"/>
  <c r="E5" i="3" s="1"/>
  <c r="G6" i="1"/>
  <c r="F5" i="3" s="1"/>
  <c r="N5" i="1"/>
  <c r="E4" i="3" s="1"/>
  <c r="G5" i="1"/>
  <c r="F4" i="3" s="1"/>
</calcChain>
</file>

<file path=xl/sharedStrings.xml><?xml version="1.0" encoding="utf-8"?>
<sst xmlns="http://schemas.openxmlformats.org/spreadsheetml/2006/main" count="413" uniqueCount="169">
  <si>
    <t>Social Media Data Collection — Instagram</t>
  </si>
  <si>
    <t>YELLOW = data entered  |  BLUE = pre-filled handle  |  GREY = auto-calculated  |  Likes hidden for: D&amp;D, Petite Plume, Pink Chicken — engagement rate unavailable for these brands</t>
  </si>
  <si>
    <t>Brand</t>
  </si>
  <si>
    <t>Market</t>
  </si>
  <si>
    <t>Positioning</t>
  </si>
  <si>
    <t>Instagram
Handle</t>
  </si>
  <si>
    <t>Followers</t>
  </si>
  <si>
    <t>Following</t>
  </si>
  <si>
    <t>Follower/Following
Ratio (auto)</t>
  </si>
  <si>
    <t>Total Posts</t>
  </si>
  <si>
    <t>Last 12:
Reels</t>
  </si>
  <si>
    <t>Last 12:
Static</t>
  </si>
  <si>
    <t>Last 12:
Carousel</t>
  </si>
  <si>
    <t>Avg Likes
(Carousel)</t>
  </si>
  <si>
    <t>Avg Likes
(Reels)</t>
  </si>
  <si>
    <t>Engagement
Rate % (auto)
[weighted all formats]</t>
  </si>
  <si>
    <t>Kids/Teen
Account?</t>
  </si>
  <si>
    <t>Content Style</t>
  </si>
  <si>
    <t>Notes</t>
  </si>
  <si>
    <t>M&amp;S</t>
  </si>
  <si>
    <t>UK</t>
  </si>
  <si>
    <t>Mass</t>
  </si>
  <si>
    <t>@marksandspencer</t>
  </si>
  <si>
    <t>No</t>
  </si>
  <si>
    <t>Product/Lifestyle</t>
  </si>
  <si>
    <t>Mixed content — food, home, fashion. @marksandspencerstyle may be better proxy for fashion analytics.</t>
  </si>
  <si>
    <t>Next</t>
  </si>
  <si>
    <t>@nextofficial</t>
  </si>
  <si>
    <t>Lifestyle/Product</t>
  </si>
  <si>
    <t>Primarily women's fashion. Only young kids/babies shown — no teen content.</t>
  </si>
  <si>
    <t>Mini Boden</t>
  </si>
  <si>
    <t>Premium</t>
  </si>
  <si>
    <t>@miniboden</t>
  </si>
  <si>
    <t>N/A — hidden</t>
  </si>
  <si>
    <t>Yes</t>
  </si>
  <si>
    <t>Product/Lifestyle/UGC</t>
  </si>
  <si>
    <t>All carousel. Heavy UGC from influencer parents. Matching mother/child sets prominent.</t>
  </si>
  <si>
    <t>Desmond &amp; Dempsey</t>
  </si>
  <si>
    <t>@desmondanddempsey</t>
  </si>
  <si>
    <t>Lifestyle/Product/UGC</t>
  </si>
  <si>
    <t>Likes hidden. Heavy influencer UGC. Lifestyle imagery: architecture, travel, interiors.</t>
  </si>
  <si>
    <t>White Fox</t>
  </si>
  <si>
    <t>AU/Global</t>
  </si>
  <si>
    <t>@whitefoxboutique</t>
  </si>
  <si>
    <t>Very high posting frequency — 12+ posts in single day observed. Emphasis on 'sexy' holiday/party aesthetic.</t>
  </si>
  <si>
    <t>Roller Rabbit</t>
  </si>
  <si>
    <t>US</t>
  </si>
  <si>
    <t>@rollerrabbitofficial</t>
  </si>
  <si>
    <t>Target collab posts generate highest engagement. Family-focused, playful, colourful.</t>
  </si>
  <si>
    <t>Posh Peanut</t>
  </si>
  <si>
    <t>@poshpeanut</t>
  </si>
  <si>
    <t>Product</t>
  </si>
  <si>
    <t>Portrait photography, plain backgrounds, product-led. Lower posting frequency (~12 posts/week).</t>
  </si>
  <si>
    <t>Petite Plume</t>
  </si>
  <si>
    <t>@petiteplume</t>
  </si>
  <si>
    <t>Likes hidden. Neutral, soft colour palette. Calm, considered aesthetic.</t>
  </si>
  <si>
    <t>Babble &amp; Goose</t>
  </si>
  <si>
    <t>@babbleandgoose</t>
  </si>
  <si>
    <t>More focus on adult loungewear. 'Sexy' aesthetic — closer to White Fox than D&amp;D.</t>
  </si>
  <si>
    <t>Pink Chicken</t>
  </si>
  <si>
    <t>@pinkchickenny</t>
  </si>
  <si>
    <t>Likes hidden. Collab with West Elm Kids. Strong print focus, diverse clothing range.</t>
  </si>
  <si>
    <t>Pink Palm Puff</t>
  </si>
  <si>
    <t>US/Global</t>
  </si>
  <si>
    <t>@pinkpalmpuff</t>
  </si>
  <si>
    <t>TikTok-native brand. Founded 2023 by Lily Balaisis. Primary platform TikTok (938K). IG ~558K — verify &amp; update.</t>
  </si>
  <si>
    <t>H&amp;M Kids</t>
  </si>
  <si>
    <t>Global</t>
  </si>
  <si>
    <t>@hm</t>
  </si>
  <si>
    <t>Zara Kids</t>
  </si>
  <si>
    <t>@zara</t>
  </si>
  <si>
    <t>River Island Kids</t>
  </si>
  <si>
    <t>@riverisland</t>
  </si>
  <si>
    <t>ASOS</t>
  </si>
  <si>
    <t>UK/Global</t>
  </si>
  <si>
    <t>@asos</t>
  </si>
  <si>
    <t>Lounge</t>
  </si>
  <si>
    <t>@loungeunderwear</t>
  </si>
  <si>
    <t>Brandy Melville</t>
  </si>
  <si>
    <t>@brandymelvilleuk</t>
  </si>
  <si>
    <t>SHEIN</t>
  </si>
  <si>
    <t>@shein_gb</t>
  </si>
  <si>
    <t>Matalan</t>
  </si>
  <si>
    <t>@matalan</t>
  </si>
  <si>
    <t>George (Asda)</t>
  </si>
  <si>
    <t>@georgeatasda</t>
  </si>
  <si>
    <t>Primark</t>
  </si>
  <si>
    <t>@primark</t>
  </si>
  <si>
    <t>Qualitative Observations — Brand Strategy &amp; Content Analysis</t>
  </si>
  <si>
    <t>Campaign with highest likes was adaptive clothing (stoma bag). Broad audience, low kids/teen focus.</t>
  </si>
  <si>
    <t>Heavy women's focus. Teens and older kids absent from feed.</t>
  </si>
  <si>
    <t>Stops at age ~11. Confirms no UK premium brand serving 11+ in this aesthetic space. All carousel no reels in last 12. 12th post going back is from 14th feb.</t>
  </si>
  <si>
    <t>Adult brand with small kids line (0-10). Premium aesthetic, editorial feel. High following count suggests active influencer relationship management. 12th post going back is 4th jan.</t>
  </si>
  <si>
    <t>Algorithm-first content machine. Volume-led growth model. Not comparable to premium pyjama brands — different strategy entirely.</t>
  </si>
  <si>
    <t>Interesting dual strategy: premium social presence + mass market distribution (Target). Highest engagement rate in dataset.</t>
  </si>
  <si>
    <t>Some posts had near-zero likes, others high — inconsistent engagement. Younger kids focus.</t>
  </si>
  <si>
    <t>Closest US equivalent to the identified UK gap. Premium family pyjamas, inclusive sizing. Worth deeper analysis.</t>
  </si>
  <si>
    <t>UK-based but not a direct competitor — different positioning (adult sexy loungewear vs premium family pyjamas).</t>
  </si>
  <si>
    <t>Kids-focused brand with beautiful prints. Collab strategy mirrors Roller Rabbit (furniture/home brand partnerships). Likes hidden.</t>
  </si>
  <si>
    <t>Founder IS the influencer — entire brand built through Lily's personal TikTok. No traditional marketing. Hoodie-first brand that added pyjamas due to teen audience demand. Viral drop model: products sell out within hours, waitlists common. ~$89 price point. TikTok primary platform (inverse of most brands in dataset). Not a high frequency of posts, 12th post dates to 4th jan. recent posts have 'likes' hidden but older ones show likes.  all posts have personal feel b/c posted by founds. some photos look professional, not all.  All carousel, no reels in last 12.</t>
  </si>
  <si>
    <t>UK value retailer. Family-focused but budget positioning. Included for market landscape context.</t>
  </si>
  <si>
    <t>Social Media Data Collection — TikTok</t>
  </si>
  <si>
    <t>TikTok Handle</t>
  </si>
  <si>
    <t>Total Videos</t>
  </si>
  <si>
    <t>Total Likes
(profile)</t>
  </si>
  <si>
    <t>Video 1
Views</t>
  </si>
  <si>
    <t>Video 2
Views</t>
  </si>
  <si>
    <t>Video 3
Views</t>
  </si>
  <si>
    <t>Avg Views
(auto)</t>
  </si>
  <si>
    <t>@marksandspenceruk</t>
  </si>
  <si>
    <t>@boden_clothing</t>
  </si>
  <si>
    <t>@whitefox</t>
  </si>
  <si>
    <t>@petiteplumeofficial</t>
  </si>
  <si>
    <t>@lounge</t>
  </si>
  <si>
    <t>@brandymelvilleusa</t>
  </si>
  <si>
    <t>@shein_official</t>
  </si>
  <si>
    <t>Handle corrected to @marksandspenceruk (official account). Data from Countik, 27 Feb 2026.</t>
  </si>
  <si>
    <t>Data from Countik, 27 Feb 2026.</t>
  </si>
  <si>
    <t>Handle corrected to @boden_clothing (official account). Data from Countik, 27 Feb 2026.</t>
  </si>
  <si>
    <t>Data from Countik, 27 Feb 2026. Low activity account (44 total videos).</t>
  </si>
  <si>
    <t>Handle corrected to @whitefox (official account). Data from Countik, 27 Feb 2026.</t>
  </si>
  <si>
    <t>Handle corrected to @rollerrabbitofficial. Data from Countik, 27 Feb 2026.</t>
  </si>
  <si>
    <t>Handle corrected to @petiteplumeofficial. Data from Countik, 27 Feb 2026.</t>
  </si>
  <si>
    <t>Handle found: @babbleandgoose. Data from Countik, 27 Feb 2026.</t>
  </si>
  <si>
    <t>967K followers, 4,191 following, 282 videos, 16.4M total likes. Primary growth platform for brand. Founder Lily's content strategy drove viral growth — drop model, sellouts, waitlists. Avg views on top 3 videos: 24.4K / 30.3K / 45.6K. Data from Countik, Feb 2026.</t>
  </si>
  <si>
    <t>Handle @hm (parent brand account). Data from Countik, Mar 2026.</t>
  </si>
  <si>
    <t>Handle @zara (parent brand account). Data from Countik, Mar 2026.</t>
  </si>
  <si>
    <t>Handle @riverisland (parent brand account). Data from Countik, Mar 2026.</t>
  </si>
  <si>
    <t>Data from Countik, Mar 2026.</t>
  </si>
  <si>
    <t>Handle corrected from @loungewear to @lounge. Data from Countik, Mar 2026.</t>
  </si>
  <si>
    <t>Handle corrected from @brandymelvilleuk to @brandymelvilleusa. Data from Countik, Mar 2026.</t>
  </si>
  <si>
    <t>Handle @shein_official. Data from Countik, Mar 2026.</t>
  </si>
  <si>
    <t>Handle corrected from @georgeasda to @georgeatasda. Data from Countik, Mar 2026.</t>
  </si>
  <si>
    <t>Social Media Summary — Cross-Platform Comparison</t>
  </si>
  <si>
    <t>Auto-populated from Instagram and TikTok sheets</t>
  </si>
  <si>
    <t>IG Followers</t>
  </si>
  <si>
    <t>IG Eng Rate %</t>
  </si>
  <si>
    <t>Follower/
Following Ratio</t>
  </si>
  <si>
    <t>IG Content Mix
(R/S/C of last 12)</t>
  </si>
  <si>
    <t>TikTok Followers</t>
  </si>
  <si>
    <t>TikTok Avg Views</t>
  </si>
  <si>
    <t>Total IG+TT
Followers</t>
  </si>
  <si>
    <t>Key Observation</t>
  </si>
  <si>
    <t>TikTok-native brand. Founder IS the influencer. Added pyjamas due to teen audience demand — strong validation of 11-19 premium loungewear market.</t>
  </si>
  <si>
    <t>Parent brand account (@hm). Mass market — broad product range, not pyjama-focused. High volume, low specialisation. Younger kids, portrait photography, 12 posts over 6 weeks.</t>
  </si>
  <si>
    <t xml:space="preserve"> @zarakids </t>
  </si>
  <si>
    <t>Parent brand account (@zara). Fast fashion model. Professional photos, lifestyle. Younger kids focus. 12 posts over last 3 weeks.</t>
  </si>
  <si>
    <t>younger kids</t>
  </si>
  <si>
    <t>mix of videos recorded in store to prof photography</t>
  </si>
  <si>
    <t xml:space="preserve"> @riverislandkids</t>
  </si>
  <si>
    <t>hidden likes, can only see likes from UGC</t>
  </si>
  <si>
    <t>Fast fashion marketplace. Wide demographic reach. Content is trend-led, influencer-heavy. Not a direct competitor. Likes are hidden apart from UGC posts. 12 posts in 1 week.</t>
  </si>
  <si>
    <t>Parent brand account (@riverisland). UK high street — teen/young adult focus possible but not premium positioning. 12 posts over 10 weeks</t>
  </si>
  <si>
    <t>professional videos/photos, umboxing</t>
  </si>
  <si>
    <t>Handle corrected to @loungeunderwear. Underwear/loungewear brand — adult-focused, aspirational aesthetic. Different market segment. 12 posts in 6 days</t>
  </si>
  <si>
    <t>static staged shots</t>
  </si>
  <si>
    <t xml:space="preserve">Handle  @brandymelvilleuk. Teen-focused fast fashion. Controversial 'one size' model. Strong Gen Z appeal but mass positioning. Last 12 posts go back 7 months. </t>
  </si>
  <si>
    <t>N/A — none</t>
  </si>
  <si>
    <t>Lifestyle</t>
  </si>
  <si>
    <t>promo post had most views</t>
  </si>
  <si>
    <t>Ultra-fast fashion. Massive reach but low brand equity. Not comparable to premium segment — included as market context. 12 posts over 1 week.</t>
  </si>
  <si>
    <t>Handle @georgeatasda. Supermarket fashion line. Budget positioning, family audience. Market context only. 12 products in 1 week. UGC posts have most engagement.</t>
  </si>
  <si>
    <t>UGC posts have most content. Kids products are toys or family.</t>
  </si>
  <si>
    <t>in store shots, UGC, few professional shots</t>
  </si>
  <si>
    <t>UK/global value retailer. Strong teen appeal and social presence despite no e-commerce. Market context for volume comparison. 12 posts in 1 week</t>
  </si>
  <si>
    <t>Data collection: February/March 2026  |  Source: Instagram public profiles (manual)</t>
  </si>
  <si>
    <t>Data collection: February/March 2026  |  Source: TikTok public profiles (manual)  |  Mark N/A if brand has no TikTok presence</t>
  </si>
  <si>
    <t>N/A</t>
  </si>
  <si>
    <t>no instagram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</si>
</sst>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i/>
      <sz val="10"/>
      <color rgb="FF444444"/>
      <name val="Arial"/>
      <family val="2"/>
      <charset val="1"/>
    </font>
    <font>
      <i/>
      <sz val="9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1A1A2E"/>
      <name val="Arial"/>
      <family val="2"/>
      <charset val="1"/>
    </font>
    <font>
      <sz val="10"/>
      <color rgb="FF000080"/>
      <name val="Arial"/>
      <family val="2"/>
      <charset val="1"/>
    </font>
    <font>
      <b/>
      <sz val="10"/>
      <name val="Arial"/>
      <family val="2"/>
    </font>
    <font>
      <i/>
      <sz val="9"/>
      <color rgb="FF888888"/>
      <name val="Arial"/>
      <family val="2"/>
      <charset val="1"/>
    </font>
    <font>
      <sz val="10"/>
      <color rgb="FF000080"/>
      <name val="Arial"/>
      <family val="2"/>
    </font>
    <font>
      <i/>
      <sz val="10"/>
      <name val="Arial"/>
      <family val="2"/>
      <charset val="1"/>
    </font>
    <font>
      <i/>
      <sz val="9"/>
      <color rgb="FF555555"/>
      <name val="Arial"/>
      <family val="2"/>
      <charset val="1"/>
    </font>
    <font>
      <sz val="9"/>
      <color theme="0" tint="-0.499984740745262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2E5FA3"/>
        <bgColor rgb="FF3366FF"/>
      </patternFill>
    </fill>
    <fill>
      <patternFill patternType="solid">
        <fgColor rgb="FFE8F0FE"/>
        <bgColor rgb="FFF2F2F2"/>
      </patternFill>
    </fill>
    <fill>
      <patternFill patternType="solid">
        <fgColor rgb="FFFFFEF0"/>
        <bgColor rgb="FFFFFFFF"/>
      </patternFill>
    </fill>
    <fill>
      <patternFill patternType="solid">
        <fgColor rgb="FFF2F2F2"/>
        <bgColor rgb="FFF5F5F5"/>
      </patternFill>
    </fill>
    <fill>
      <patternFill patternType="solid">
        <fgColor rgb="FFF5F5F5"/>
        <bgColor rgb="FFF2F2F2"/>
      </patternFill>
    </fill>
    <fill>
      <patternFill patternType="solid">
        <fgColor theme="0" tint="-4.9989318521683403E-2"/>
        <b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3" fontId="6" fillId="7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top" wrapText="1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6" borderId="2" xfId="0" applyFill="1" applyBorder="1" applyAlignment="1">
      <alignment vertical="top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3" fontId="14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E8F0FE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5F5F5"/>
      <rgbColor rgb="FFFFFE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1A1A2E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tabSelected="1" topLeftCell="C1" zoomScaleNormal="100" workbookViewId="0">
      <selection activeCell="Q24" sqref="Q24"/>
    </sheetView>
  </sheetViews>
  <sheetFormatPr baseColWidth="10" defaultColWidth="8.6640625" defaultRowHeight="15" x14ac:dyDescent="0.2"/>
  <cols>
    <col min="1" max="1" width="20" customWidth="1"/>
    <col min="2" max="2" width="8" customWidth="1"/>
    <col min="3" max="3" width="10" customWidth="1"/>
    <col min="4" max="4" width="22" customWidth="1"/>
    <col min="5" max="6" width="12" customWidth="1"/>
    <col min="7" max="7" width="14" customWidth="1"/>
    <col min="8" max="8" width="12" customWidth="1"/>
    <col min="9" max="11" width="10" customWidth="1"/>
    <col min="12" max="14" width="14" customWidth="1"/>
    <col min="15" max="15" width="10" customWidth="1"/>
    <col min="16" max="16" width="22" customWidth="1"/>
    <col min="17" max="17" width="35" customWidth="1"/>
  </cols>
  <sheetData>
    <row r="1" spans="1:17" ht="30" customHeight="1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8" customHeight="1" x14ac:dyDescent="0.2">
      <c r="A2" s="24" t="s">
        <v>165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18" customHeight="1" x14ac:dyDescent="0.2">
      <c r="A3" s="22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49.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ht="21.75" customHeight="1" x14ac:dyDescent="0.2">
      <c r="A5" s="2" t="s">
        <v>19</v>
      </c>
      <c r="B5" s="3" t="s">
        <v>20</v>
      </c>
      <c r="C5" s="3" t="s">
        <v>21</v>
      </c>
      <c r="D5" s="4" t="s">
        <v>22</v>
      </c>
      <c r="E5" s="5">
        <v>2400000</v>
      </c>
      <c r="F5" s="5">
        <v>896</v>
      </c>
      <c r="G5" s="6">
        <f t="shared" ref="G5:G25" si="0">IFERROR(ROUND(E5/F5,0),"")</f>
        <v>2679</v>
      </c>
      <c r="H5" s="5">
        <v>17400</v>
      </c>
      <c r="I5" s="7">
        <v>9</v>
      </c>
      <c r="J5" s="7">
        <v>0</v>
      </c>
      <c r="K5" s="7">
        <v>3</v>
      </c>
      <c r="L5" s="5">
        <v>986</v>
      </c>
      <c r="M5" s="5">
        <v>1210</v>
      </c>
      <c r="N5" s="8">
        <f t="shared" ref="N5:N25" si="1">IFERROR(IF(AND(L5="N/A — hidden",M5="N/A — hidden"),"N/A",IF((IF(L5="N/A — hidden",0,K5+J5)+IF(M5="N/A — hidden",0,I5))=0,"N/A",ROUND((IF(L5="N/A — hidden",0,L5*(K5+J5))+IF(M5="N/A — hidden",0,M5*I5))/(IF(L5="N/A — hidden",0,K5+J5)+IF(M5="N/A — hidden",0,I5))/E5*100,3))),"N/A")</f>
        <v>4.8000000000000001E-2</v>
      </c>
      <c r="O5" s="7" t="s">
        <v>23</v>
      </c>
      <c r="P5" s="7" t="s">
        <v>24</v>
      </c>
      <c r="Q5" s="7" t="s">
        <v>25</v>
      </c>
    </row>
    <row r="6" spans="1:17" ht="21.75" customHeight="1" x14ac:dyDescent="0.2">
      <c r="A6" s="2" t="s">
        <v>26</v>
      </c>
      <c r="B6" s="3" t="s">
        <v>20</v>
      </c>
      <c r="C6" s="3" t="s">
        <v>21</v>
      </c>
      <c r="D6" s="4" t="s">
        <v>27</v>
      </c>
      <c r="E6" s="5">
        <v>3400000</v>
      </c>
      <c r="F6" s="5">
        <v>309</v>
      </c>
      <c r="G6" s="6">
        <f t="shared" si="0"/>
        <v>11003</v>
      </c>
      <c r="H6" s="5">
        <v>10100</v>
      </c>
      <c r="I6" s="7">
        <v>8</v>
      </c>
      <c r="J6" s="7">
        <v>0</v>
      </c>
      <c r="K6" s="7">
        <v>4</v>
      </c>
      <c r="L6" s="5">
        <v>418</v>
      </c>
      <c r="M6" s="5">
        <v>735</v>
      </c>
      <c r="N6" s="8">
        <f t="shared" si="1"/>
        <v>1.9E-2</v>
      </c>
      <c r="O6" s="7" t="s">
        <v>23</v>
      </c>
      <c r="P6" s="7" t="s">
        <v>28</v>
      </c>
      <c r="Q6" s="7" t="s">
        <v>29</v>
      </c>
    </row>
    <row r="7" spans="1:17" ht="21.75" customHeight="1" x14ac:dyDescent="0.2">
      <c r="A7" s="2" t="s">
        <v>30</v>
      </c>
      <c r="B7" s="3" t="s">
        <v>20</v>
      </c>
      <c r="C7" s="3" t="s">
        <v>31</v>
      </c>
      <c r="D7" s="4" t="s">
        <v>32</v>
      </c>
      <c r="E7" s="5">
        <v>213000</v>
      </c>
      <c r="F7" s="5">
        <v>480</v>
      </c>
      <c r="G7" s="6">
        <f t="shared" si="0"/>
        <v>444</v>
      </c>
      <c r="H7" s="5">
        <v>1240</v>
      </c>
      <c r="I7" s="7">
        <v>0</v>
      </c>
      <c r="J7" s="7">
        <v>0</v>
      </c>
      <c r="K7" s="7">
        <v>12</v>
      </c>
      <c r="L7" s="9" t="s">
        <v>33</v>
      </c>
      <c r="M7" s="5">
        <v>0</v>
      </c>
      <c r="N7" s="8" t="str">
        <f t="shared" si="1"/>
        <v>N/A</v>
      </c>
      <c r="O7" s="7" t="s">
        <v>34</v>
      </c>
      <c r="P7" s="7" t="s">
        <v>35</v>
      </c>
      <c r="Q7" s="7" t="s">
        <v>36</v>
      </c>
    </row>
    <row r="8" spans="1:17" ht="21.75" customHeight="1" x14ac:dyDescent="0.2">
      <c r="A8" s="2" t="s">
        <v>37</v>
      </c>
      <c r="B8" s="3" t="s">
        <v>20</v>
      </c>
      <c r="C8" s="3" t="s">
        <v>31</v>
      </c>
      <c r="D8" s="4" t="s">
        <v>38</v>
      </c>
      <c r="E8" s="5">
        <v>152000</v>
      </c>
      <c r="F8" s="5">
        <v>3667</v>
      </c>
      <c r="G8" s="6">
        <f t="shared" si="0"/>
        <v>41</v>
      </c>
      <c r="H8" s="5">
        <v>2972</v>
      </c>
      <c r="I8" s="7">
        <v>0</v>
      </c>
      <c r="J8" s="7">
        <v>1</v>
      </c>
      <c r="K8" s="7">
        <v>11</v>
      </c>
      <c r="L8" s="10">
        <v>299</v>
      </c>
      <c r="M8" s="11">
        <v>0</v>
      </c>
      <c r="N8" s="8">
        <f t="shared" si="1"/>
        <v>0.19700000000000001</v>
      </c>
      <c r="O8" s="7" t="s">
        <v>23</v>
      </c>
      <c r="P8" s="7" t="s">
        <v>39</v>
      </c>
      <c r="Q8" s="7" t="s">
        <v>40</v>
      </c>
    </row>
    <row r="9" spans="1:17" ht="21.75" customHeight="1" x14ac:dyDescent="0.2">
      <c r="A9" s="2" t="s">
        <v>41</v>
      </c>
      <c r="B9" s="3" t="s">
        <v>42</v>
      </c>
      <c r="C9" s="3" t="s">
        <v>31</v>
      </c>
      <c r="D9" s="4" t="s">
        <v>43</v>
      </c>
      <c r="E9" s="5">
        <v>2700000</v>
      </c>
      <c r="F9" s="5">
        <v>1955</v>
      </c>
      <c r="G9" s="6">
        <f t="shared" si="0"/>
        <v>1381</v>
      </c>
      <c r="H9" s="5">
        <v>28700</v>
      </c>
      <c r="I9" s="7">
        <v>5</v>
      </c>
      <c r="J9" s="7">
        <v>0</v>
      </c>
      <c r="K9" s="7">
        <v>7</v>
      </c>
      <c r="L9" s="5">
        <v>1176</v>
      </c>
      <c r="M9" s="5">
        <v>2359</v>
      </c>
      <c r="N9" s="8">
        <f t="shared" si="1"/>
        <v>6.2E-2</v>
      </c>
      <c r="O9" s="7" t="s">
        <v>23</v>
      </c>
      <c r="P9" s="7" t="s">
        <v>39</v>
      </c>
      <c r="Q9" s="7" t="s">
        <v>44</v>
      </c>
    </row>
    <row r="10" spans="1:17" ht="21.75" customHeight="1" x14ac:dyDescent="0.2">
      <c r="A10" s="2" t="s">
        <v>45</v>
      </c>
      <c r="B10" s="3" t="s">
        <v>46</v>
      </c>
      <c r="C10" s="3" t="s">
        <v>31</v>
      </c>
      <c r="D10" s="4" t="s">
        <v>47</v>
      </c>
      <c r="E10" s="5">
        <v>258000</v>
      </c>
      <c r="F10" s="5">
        <v>1346</v>
      </c>
      <c r="G10" s="6">
        <f t="shared" si="0"/>
        <v>192</v>
      </c>
      <c r="H10" s="5">
        <v>5506</v>
      </c>
      <c r="I10" s="7">
        <v>3</v>
      </c>
      <c r="J10" s="7">
        <v>1</v>
      </c>
      <c r="K10" s="7">
        <v>8</v>
      </c>
      <c r="L10" s="5">
        <v>2225</v>
      </c>
      <c r="M10" s="5">
        <v>5267</v>
      </c>
      <c r="N10" s="8">
        <f t="shared" si="1"/>
        <v>1.157</v>
      </c>
      <c r="O10" s="7" t="s">
        <v>23</v>
      </c>
      <c r="P10" s="7" t="s">
        <v>28</v>
      </c>
      <c r="Q10" s="7" t="s">
        <v>48</v>
      </c>
    </row>
    <row r="11" spans="1:17" ht="21.75" customHeight="1" x14ac:dyDescent="0.2">
      <c r="A11" s="2" t="s">
        <v>49</v>
      </c>
      <c r="B11" s="3" t="s">
        <v>46</v>
      </c>
      <c r="C11" s="3" t="s">
        <v>31</v>
      </c>
      <c r="D11" s="4" t="s">
        <v>50</v>
      </c>
      <c r="E11" s="5">
        <v>777000</v>
      </c>
      <c r="F11" s="5">
        <v>944</v>
      </c>
      <c r="G11" s="6">
        <f t="shared" si="0"/>
        <v>823</v>
      </c>
      <c r="H11" s="5">
        <v>6941</v>
      </c>
      <c r="I11" s="7">
        <v>5</v>
      </c>
      <c r="J11" s="7">
        <v>0</v>
      </c>
      <c r="K11" s="7">
        <v>7</v>
      </c>
      <c r="L11" s="5">
        <v>383</v>
      </c>
      <c r="M11" s="5">
        <v>515</v>
      </c>
      <c r="N11" s="8">
        <f t="shared" si="1"/>
        <v>5.6000000000000001E-2</v>
      </c>
      <c r="O11" s="7" t="s">
        <v>34</v>
      </c>
      <c r="P11" s="7" t="s">
        <v>51</v>
      </c>
      <c r="Q11" s="7" t="s">
        <v>52</v>
      </c>
    </row>
    <row r="12" spans="1:17" ht="21.75" customHeight="1" x14ac:dyDescent="0.2">
      <c r="A12" s="2" t="s">
        <v>53</v>
      </c>
      <c r="B12" s="3" t="s">
        <v>46</v>
      </c>
      <c r="C12" s="3" t="s">
        <v>31</v>
      </c>
      <c r="D12" s="4" t="s">
        <v>54</v>
      </c>
      <c r="E12" s="5">
        <v>156000</v>
      </c>
      <c r="F12" s="5">
        <v>1003</v>
      </c>
      <c r="G12" s="6">
        <f t="shared" si="0"/>
        <v>156</v>
      </c>
      <c r="H12" s="5">
        <v>3387</v>
      </c>
      <c r="I12" s="7">
        <v>3</v>
      </c>
      <c r="J12" s="7">
        <v>0</v>
      </c>
      <c r="K12" s="7">
        <v>9</v>
      </c>
      <c r="L12" s="9" t="s">
        <v>33</v>
      </c>
      <c r="M12" s="9" t="s">
        <v>33</v>
      </c>
      <c r="N12" s="8" t="str">
        <f t="shared" si="1"/>
        <v>N/A</v>
      </c>
      <c r="O12" s="7" t="s">
        <v>34</v>
      </c>
      <c r="P12" s="7" t="s">
        <v>28</v>
      </c>
      <c r="Q12" s="7" t="s">
        <v>55</v>
      </c>
    </row>
    <row r="13" spans="1:17" ht="21.75" customHeight="1" x14ac:dyDescent="0.2">
      <c r="A13" s="2" t="s">
        <v>56</v>
      </c>
      <c r="B13" s="3" t="s">
        <v>20</v>
      </c>
      <c r="C13" s="3" t="s">
        <v>31</v>
      </c>
      <c r="D13" s="4" t="s">
        <v>57</v>
      </c>
      <c r="E13" s="5">
        <v>63800</v>
      </c>
      <c r="F13" s="5">
        <v>1045</v>
      </c>
      <c r="G13" s="6">
        <f t="shared" si="0"/>
        <v>61</v>
      </c>
      <c r="H13" s="5">
        <v>2029</v>
      </c>
      <c r="I13" s="7">
        <v>5</v>
      </c>
      <c r="J13" s="7">
        <v>2</v>
      </c>
      <c r="K13" s="7">
        <v>5</v>
      </c>
      <c r="L13" s="5">
        <v>82</v>
      </c>
      <c r="M13" s="5">
        <v>164</v>
      </c>
      <c r="N13" s="8">
        <f t="shared" si="1"/>
        <v>0.182</v>
      </c>
      <c r="O13" s="7" t="s">
        <v>23</v>
      </c>
      <c r="P13" s="7" t="s">
        <v>28</v>
      </c>
      <c r="Q13" s="7" t="s">
        <v>58</v>
      </c>
    </row>
    <row r="14" spans="1:17" ht="21.75" customHeight="1" x14ac:dyDescent="0.2">
      <c r="A14" s="2" t="s">
        <v>59</v>
      </c>
      <c r="B14" s="3" t="s">
        <v>46</v>
      </c>
      <c r="C14" s="3" t="s">
        <v>31</v>
      </c>
      <c r="D14" s="4" t="s">
        <v>60</v>
      </c>
      <c r="E14" s="5">
        <v>139000</v>
      </c>
      <c r="F14" s="5">
        <v>1314</v>
      </c>
      <c r="G14" s="6">
        <f t="shared" si="0"/>
        <v>106</v>
      </c>
      <c r="H14" s="5">
        <v>7309</v>
      </c>
      <c r="I14" s="7">
        <v>5</v>
      </c>
      <c r="J14" s="7">
        <v>0</v>
      </c>
      <c r="K14" s="7">
        <v>7</v>
      </c>
      <c r="L14" s="9" t="s">
        <v>33</v>
      </c>
      <c r="M14" s="9" t="s">
        <v>33</v>
      </c>
      <c r="N14" s="8" t="str">
        <f t="shared" si="1"/>
        <v>N/A</v>
      </c>
      <c r="O14" s="7" t="s">
        <v>34</v>
      </c>
      <c r="P14" s="7" t="s">
        <v>28</v>
      </c>
      <c r="Q14" s="7" t="s">
        <v>61</v>
      </c>
    </row>
    <row r="15" spans="1:17" ht="21.75" customHeight="1" x14ac:dyDescent="0.2">
      <c r="A15" s="2" t="s">
        <v>62</v>
      </c>
      <c r="B15" s="3" t="s">
        <v>63</v>
      </c>
      <c r="C15" s="3" t="s">
        <v>31</v>
      </c>
      <c r="D15" s="4" t="s">
        <v>64</v>
      </c>
      <c r="E15" s="7">
        <v>676000</v>
      </c>
      <c r="F15" s="7">
        <v>55</v>
      </c>
      <c r="G15" s="12">
        <f t="shared" si="0"/>
        <v>12291</v>
      </c>
      <c r="H15" s="7">
        <v>219</v>
      </c>
      <c r="I15" s="7">
        <v>0</v>
      </c>
      <c r="J15" s="7">
        <v>0</v>
      </c>
      <c r="K15" s="7">
        <v>12</v>
      </c>
      <c r="L15" s="7">
        <v>15992</v>
      </c>
      <c r="M15" s="7">
        <v>0</v>
      </c>
      <c r="N15" s="8">
        <f t="shared" si="1"/>
        <v>2.3660000000000001</v>
      </c>
      <c r="O15" s="7" t="s">
        <v>34</v>
      </c>
      <c r="P15" s="7" t="s">
        <v>39</v>
      </c>
      <c r="Q15" s="7" t="s">
        <v>65</v>
      </c>
    </row>
    <row r="16" spans="1:17" ht="21.75" customHeight="1" x14ac:dyDescent="0.2">
      <c r="A16" s="2" t="s">
        <v>66</v>
      </c>
      <c r="B16" s="3" t="s">
        <v>67</v>
      </c>
      <c r="C16" s="3" t="s">
        <v>21</v>
      </c>
      <c r="D16" s="4" t="s">
        <v>68</v>
      </c>
      <c r="E16" s="5">
        <v>4000000</v>
      </c>
      <c r="F16" s="5">
        <v>80</v>
      </c>
      <c r="G16" s="6">
        <f t="shared" si="0"/>
        <v>50000</v>
      </c>
      <c r="H16" s="5">
        <v>2821</v>
      </c>
      <c r="I16" s="7">
        <v>2</v>
      </c>
      <c r="J16" s="7">
        <v>0</v>
      </c>
      <c r="K16" s="7">
        <v>10</v>
      </c>
      <c r="L16" s="5">
        <v>539</v>
      </c>
      <c r="M16" s="5">
        <v>468</v>
      </c>
      <c r="N16" s="8">
        <f t="shared" si="1"/>
        <v>1.2999999999999999E-2</v>
      </c>
      <c r="O16" s="7" t="s">
        <v>34</v>
      </c>
      <c r="P16" s="7" t="s">
        <v>51</v>
      </c>
      <c r="Q16" s="7" t="s">
        <v>147</v>
      </c>
    </row>
    <row r="17" spans="1:17" ht="21.75" customHeight="1" x14ac:dyDescent="0.2">
      <c r="A17" s="2" t="s">
        <v>69</v>
      </c>
      <c r="B17" s="3" t="s">
        <v>67</v>
      </c>
      <c r="C17" s="3" t="s">
        <v>21</v>
      </c>
      <c r="D17" s="4" t="s">
        <v>145</v>
      </c>
      <c r="E17" s="5">
        <v>2500000</v>
      </c>
      <c r="F17" s="5">
        <v>13</v>
      </c>
      <c r="G17" s="6">
        <f t="shared" si="0"/>
        <v>192308</v>
      </c>
      <c r="H17" s="5">
        <v>2185</v>
      </c>
      <c r="I17" s="7">
        <v>0</v>
      </c>
      <c r="J17" s="7">
        <v>0</v>
      </c>
      <c r="K17" s="7">
        <v>12</v>
      </c>
      <c r="L17" s="5">
        <v>1329</v>
      </c>
      <c r="M17" s="5">
        <v>0</v>
      </c>
      <c r="N17" s="8">
        <f t="shared" si="1"/>
        <v>5.2999999999999999E-2</v>
      </c>
      <c r="O17" s="7" t="s">
        <v>34</v>
      </c>
      <c r="P17" s="7" t="s">
        <v>24</v>
      </c>
      <c r="Q17" s="7" t="s">
        <v>147</v>
      </c>
    </row>
    <row r="18" spans="1:17" ht="21.75" customHeight="1" x14ac:dyDescent="0.2">
      <c r="A18" s="2" t="s">
        <v>71</v>
      </c>
      <c r="B18" s="3" t="s">
        <v>20</v>
      </c>
      <c r="C18" s="3" t="s">
        <v>21</v>
      </c>
      <c r="D18" s="4" t="s">
        <v>149</v>
      </c>
      <c r="E18" s="5">
        <v>123000</v>
      </c>
      <c r="F18" s="5">
        <v>128</v>
      </c>
      <c r="G18" s="6">
        <f t="shared" si="0"/>
        <v>961</v>
      </c>
      <c r="H18" s="5">
        <v>2488</v>
      </c>
      <c r="I18" s="7">
        <v>8</v>
      </c>
      <c r="J18" s="7">
        <v>0</v>
      </c>
      <c r="K18" s="7">
        <v>4</v>
      </c>
      <c r="L18" s="5">
        <v>372</v>
      </c>
      <c r="M18" s="5">
        <v>666</v>
      </c>
      <c r="N18" s="8">
        <f t="shared" si="1"/>
        <v>0.46200000000000002</v>
      </c>
      <c r="O18" s="7" t="s">
        <v>34</v>
      </c>
      <c r="P18" s="7" t="s">
        <v>51</v>
      </c>
      <c r="Q18" s="7" t="s">
        <v>148</v>
      </c>
    </row>
    <row r="19" spans="1:17" ht="21.75" customHeight="1" x14ac:dyDescent="0.2">
      <c r="A19" s="2" t="s">
        <v>73</v>
      </c>
      <c r="B19" s="3" t="s">
        <v>74</v>
      </c>
      <c r="C19" s="3" t="s">
        <v>21</v>
      </c>
      <c r="D19" s="4" t="s">
        <v>75</v>
      </c>
      <c r="E19" s="5">
        <v>14700000</v>
      </c>
      <c r="F19" s="5">
        <v>1243</v>
      </c>
      <c r="G19" s="6">
        <f t="shared" si="0"/>
        <v>11826</v>
      </c>
      <c r="H19" s="5">
        <v>2167</v>
      </c>
      <c r="I19" s="7">
        <v>5</v>
      </c>
      <c r="J19" s="7">
        <v>0</v>
      </c>
      <c r="K19" s="7">
        <v>7</v>
      </c>
      <c r="L19" s="28" t="s">
        <v>33</v>
      </c>
      <c r="M19" s="5">
        <v>852</v>
      </c>
      <c r="N19" s="8">
        <f t="shared" si="1"/>
        <v>6.0000000000000001E-3</v>
      </c>
      <c r="O19" s="7" t="s">
        <v>23</v>
      </c>
      <c r="P19" s="7" t="s">
        <v>35</v>
      </c>
      <c r="Q19" s="7" t="s">
        <v>150</v>
      </c>
    </row>
    <row r="20" spans="1:17" ht="21.75" customHeight="1" x14ac:dyDescent="0.2">
      <c r="A20" s="2" t="s">
        <v>76</v>
      </c>
      <c r="B20" s="3" t="s">
        <v>20</v>
      </c>
      <c r="C20" s="3" t="s">
        <v>31</v>
      </c>
      <c r="D20" s="4" t="s">
        <v>77</v>
      </c>
      <c r="E20" s="5">
        <v>3700000</v>
      </c>
      <c r="F20" s="5">
        <v>58</v>
      </c>
      <c r="G20" s="6">
        <f t="shared" si="0"/>
        <v>63793</v>
      </c>
      <c r="H20" s="5">
        <v>4252</v>
      </c>
      <c r="I20" s="7">
        <v>6</v>
      </c>
      <c r="J20" s="7">
        <v>0</v>
      </c>
      <c r="K20" s="7">
        <v>6</v>
      </c>
      <c r="L20" s="5">
        <v>5575</v>
      </c>
      <c r="M20" s="5">
        <v>2380</v>
      </c>
      <c r="N20" s="8">
        <f t="shared" si="1"/>
        <v>0.108</v>
      </c>
      <c r="O20" s="7" t="s">
        <v>23</v>
      </c>
      <c r="P20" s="7" t="s">
        <v>24</v>
      </c>
      <c r="Q20" s="7" t="s">
        <v>153</v>
      </c>
    </row>
    <row r="21" spans="1:17" ht="21.75" customHeight="1" x14ac:dyDescent="0.2">
      <c r="A21" s="2" t="s">
        <v>78</v>
      </c>
      <c r="B21" s="3" t="s">
        <v>63</v>
      </c>
      <c r="C21" s="3" t="s">
        <v>21</v>
      </c>
      <c r="D21" s="4" t="s">
        <v>79</v>
      </c>
      <c r="E21" s="5">
        <v>73600</v>
      </c>
      <c r="F21" s="5">
        <v>1</v>
      </c>
      <c r="G21" s="6">
        <f t="shared" si="0"/>
        <v>73600</v>
      </c>
      <c r="H21" s="5">
        <v>2971</v>
      </c>
      <c r="I21" s="7">
        <v>0</v>
      </c>
      <c r="J21" s="7">
        <v>11</v>
      </c>
      <c r="K21" s="7">
        <v>1</v>
      </c>
      <c r="L21" s="28" t="s">
        <v>157</v>
      </c>
      <c r="M21" s="5">
        <v>983</v>
      </c>
      <c r="N21" s="8" t="str">
        <f t="shared" si="1"/>
        <v>N/A</v>
      </c>
      <c r="O21" s="7" t="s">
        <v>34</v>
      </c>
      <c r="P21" s="7" t="s">
        <v>28</v>
      </c>
      <c r="Q21" s="7" t="s">
        <v>155</v>
      </c>
    </row>
    <row r="22" spans="1:17" ht="21.75" customHeight="1" x14ac:dyDescent="0.2">
      <c r="A22" s="2" t="s">
        <v>80</v>
      </c>
      <c r="B22" s="3" t="s">
        <v>67</v>
      </c>
      <c r="C22" s="3" t="s">
        <v>21</v>
      </c>
      <c r="D22" s="4" t="s">
        <v>81</v>
      </c>
      <c r="E22" s="5">
        <v>587000</v>
      </c>
      <c r="F22" s="5">
        <v>391</v>
      </c>
      <c r="G22" s="6">
        <f t="shared" si="0"/>
        <v>1501</v>
      </c>
      <c r="H22" s="5">
        <v>11500</v>
      </c>
      <c r="I22" s="7">
        <v>3</v>
      </c>
      <c r="J22" s="7">
        <v>0</v>
      </c>
      <c r="K22" s="7">
        <v>9</v>
      </c>
      <c r="L22" s="5">
        <v>121</v>
      </c>
      <c r="M22" s="5">
        <v>69</v>
      </c>
      <c r="N22" s="8">
        <f t="shared" si="1"/>
        <v>1.7999999999999999E-2</v>
      </c>
      <c r="O22" s="7" t="s">
        <v>23</v>
      </c>
      <c r="P22" s="7" t="s">
        <v>158</v>
      </c>
      <c r="Q22" s="7" t="s">
        <v>159</v>
      </c>
    </row>
    <row r="23" spans="1:17" ht="21.75" customHeight="1" x14ac:dyDescent="0.2">
      <c r="A23" s="2" t="s">
        <v>82</v>
      </c>
      <c r="B23" s="3" t="s">
        <v>20</v>
      </c>
      <c r="C23" s="3" t="s">
        <v>21</v>
      </c>
      <c r="D23" s="4" t="s">
        <v>83</v>
      </c>
      <c r="E23" s="5"/>
      <c r="F23" s="5"/>
      <c r="G23" s="6" t="str">
        <f t="shared" si="0"/>
        <v/>
      </c>
      <c r="H23" s="5"/>
      <c r="I23" s="7"/>
      <c r="J23" s="7"/>
      <c r="K23" s="7"/>
      <c r="L23" s="5"/>
      <c r="M23" s="5"/>
      <c r="N23" s="8" t="str">
        <f t="shared" si="1"/>
        <v>N/A</v>
      </c>
      <c r="O23" s="7"/>
      <c r="P23" s="7" t="s">
        <v>167</v>
      </c>
      <c r="Q23" s="7" t="s">
        <v>168</v>
      </c>
    </row>
    <row r="24" spans="1:17" ht="21.75" customHeight="1" x14ac:dyDescent="0.2">
      <c r="A24" s="2" t="s">
        <v>84</v>
      </c>
      <c r="B24" s="3" t="s">
        <v>20</v>
      </c>
      <c r="C24" s="3" t="s">
        <v>21</v>
      </c>
      <c r="D24" s="4" t="s">
        <v>85</v>
      </c>
      <c r="E24" s="5">
        <v>838000</v>
      </c>
      <c r="F24" s="5">
        <v>1215</v>
      </c>
      <c r="G24" s="6">
        <f t="shared" si="0"/>
        <v>690</v>
      </c>
      <c r="H24" s="5">
        <v>7575</v>
      </c>
      <c r="I24" s="7">
        <v>9</v>
      </c>
      <c r="J24" s="7">
        <v>0</v>
      </c>
      <c r="K24" s="7">
        <v>3</v>
      </c>
      <c r="L24" s="5">
        <v>294</v>
      </c>
      <c r="M24" s="5">
        <v>671</v>
      </c>
      <c r="N24" s="8">
        <f t="shared" si="1"/>
        <v>6.9000000000000006E-2</v>
      </c>
      <c r="O24" s="7" t="s">
        <v>23</v>
      </c>
      <c r="P24" s="7" t="s">
        <v>39</v>
      </c>
      <c r="Q24" s="7" t="s">
        <v>162</v>
      </c>
    </row>
    <row r="25" spans="1:17" ht="21.75" customHeight="1" x14ac:dyDescent="0.2">
      <c r="A25" s="2" t="s">
        <v>86</v>
      </c>
      <c r="B25" s="3" t="s">
        <v>74</v>
      </c>
      <c r="C25" s="3" t="s">
        <v>21</v>
      </c>
      <c r="D25" s="4" t="s">
        <v>87</v>
      </c>
      <c r="E25" s="5">
        <v>11300000</v>
      </c>
      <c r="F25" s="5">
        <v>1022</v>
      </c>
      <c r="G25" s="6">
        <f t="shared" si="0"/>
        <v>11057</v>
      </c>
      <c r="H25" s="5">
        <v>18500</v>
      </c>
      <c r="I25" s="7">
        <v>10</v>
      </c>
      <c r="J25" s="7">
        <v>0</v>
      </c>
      <c r="K25" s="7">
        <v>2</v>
      </c>
      <c r="L25" s="5">
        <v>2946</v>
      </c>
      <c r="M25" s="5">
        <v>5728</v>
      </c>
      <c r="N25" s="8">
        <f t="shared" si="1"/>
        <v>4.7E-2</v>
      </c>
      <c r="O25" s="7" t="s">
        <v>23</v>
      </c>
      <c r="P25" s="7" t="s">
        <v>39</v>
      </c>
      <c r="Q25" s="7" t="s">
        <v>163</v>
      </c>
    </row>
    <row r="26" spans="1:17" ht="21.75" customHeight="1" x14ac:dyDescent="0.2">
      <c r="A26" s="23" t="s">
        <v>88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1:17" ht="49.5" customHeight="1" x14ac:dyDescent="0.2">
      <c r="A27" s="13" t="s">
        <v>88</v>
      </c>
      <c r="B27" s="23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spans="1:17" ht="49.5" customHeight="1" x14ac:dyDescent="0.2">
      <c r="A28" s="2" t="s">
        <v>19</v>
      </c>
      <c r="B28" s="18" t="s">
        <v>89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spans="1:17" ht="49.5" customHeight="1" x14ac:dyDescent="0.2">
      <c r="A29" s="2" t="s">
        <v>26</v>
      </c>
      <c r="B29" s="18" t="s">
        <v>90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</row>
    <row r="30" spans="1:17" ht="49.5" customHeight="1" x14ac:dyDescent="0.2">
      <c r="A30" s="2" t="s">
        <v>30</v>
      </c>
      <c r="B30" s="18" t="s">
        <v>91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7" ht="49.5" customHeight="1" x14ac:dyDescent="0.2">
      <c r="A31" s="2" t="s">
        <v>37</v>
      </c>
      <c r="B31" s="18" t="s">
        <v>92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</row>
    <row r="32" spans="1:17" ht="49.5" customHeight="1" x14ac:dyDescent="0.2">
      <c r="A32" s="2" t="s">
        <v>41</v>
      </c>
      <c r="B32" s="18" t="s">
        <v>93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spans="1:17" ht="49.5" customHeight="1" x14ac:dyDescent="0.2">
      <c r="A33" s="2" t="s">
        <v>45</v>
      </c>
      <c r="B33" s="18" t="s">
        <v>94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spans="1:17" ht="49.5" customHeight="1" x14ac:dyDescent="0.2">
      <c r="A34" s="2" t="s">
        <v>49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spans="1:17" ht="49.5" customHeight="1" x14ac:dyDescent="0.2">
      <c r="A35" s="2" t="s">
        <v>53</v>
      </c>
      <c r="B35" s="18" t="s">
        <v>96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spans="1:17" ht="49.5" customHeight="1" x14ac:dyDescent="0.2">
      <c r="A36" s="2" t="s">
        <v>56</v>
      </c>
      <c r="B36" s="18" t="s">
        <v>97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spans="1:17" ht="49.5" customHeight="1" x14ac:dyDescent="0.2">
      <c r="A37" s="2" t="s">
        <v>59</v>
      </c>
      <c r="B37" s="18" t="s">
        <v>98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</row>
    <row r="38" spans="1:17" ht="223.5" customHeight="1" x14ac:dyDescent="0.2">
      <c r="A38" s="2" t="s">
        <v>62</v>
      </c>
      <c r="B38" s="18" t="s">
        <v>99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17" ht="49.5" customHeight="1" x14ac:dyDescent="0.2">
      <c r="A39" s="2" t="s">
        <v>66</v>
      </c>
      <c r="B39" s="18" t="s">
        <v>144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ht="49.5" customHeight="1" x14ac:dyDescent="0.2">
      <c r="A40" s="2" t="s">
        <v>69</v>
      </c>
      <c r="B40" s="18" t="s">
        <v>146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</row>
    <row r="41" spans="1:17" ht="49.5" customHeight="1" x14ac:dyDescent="0.2">
      <c r="A41" s="2" t="s">
        <v>71</v>
      </c>
      <c r="B41" s="18" t="s">
        <v>152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spans="1:17" ht="49.5" customHeight="1" x14ac:dyDescent="0.2">
      <c r="A42" s="2" t="s">
        <v>73</v>
      </c>
      <c r="B42" s="18" t="s">
        <v>151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spans="1:17" ht="49.5" customHeight="1" x14ac:dyDescent="0.2">
      <c r="A43" s="2" t="s">
        <v>76</v>
      </c>
      <c r="B43" s="18" t="s">
        <v>154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</row>
    <row r="44" spans="1:17" ht="49.5" customHeight="1" x14ac:dyDescent="0.2">
      <c r="A44" s="2" t="s">
        <v>78</v>
      </c>
      <c r="B44" s="18" t="s">
        <v>156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</row>
    <row r="45" spans="1:17" ht="49.5" customHeight="1" x14ac:dyDescent="0.2">
      <c r="A45" s="2" t="s">
        <v>80</v>
      </c>
      <c r="B45" s="18" t="s">
        <v>160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</row>
    <row r="46" spans="1:17" ht="49.5" customHeight="1" x14ac:dyDescent="0.2">
      <c r="A46" s="2" t="s">
        <v>82</v>
      </c>
      <c r="B46" s="18" t="s">
        <v>100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17" ht="49.5" customHeight="1" x14ac:dyDescent="0.2">
      <c r="A47" s="2" t="s">
        <v>84</v>
      </c>
      <c r="B47" s="18" t="s">
        <v>161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</row>
    <row r="48" spans="1:17" ht="49.5" customHeight="1" x14ac:dyDescent="0.2">
      <c r="A48" s="2" t="s">
        <v>86</v>
      </c>
      <c r="B48" s="18" t="s">
        <v>164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</row>
  </sheetData>
  <mergeCells count="26">
    <mergeCell ref="B48:Q48"/>
    <mergeCell ref="B39:Q39"/>
    <mergeCell ref="B42:Q42"/>
    <mergeCell ref="B38:Q38"/>
    <mergeCell ref="B29:Q29"/>
    <mergeCell ref="B44:Q44"/>
    <mergeCell ref="B47:Q47"/>
    <mergeCell ref="B46:Q46"/>
    <mergeCell ref="A3:Q3"/>
    <mergeCell ref="B31:Q31"/>
    <mergeCell ref="B27:Q27"/>
    <mergeCell ref="A26:Q26"/>
    <mergeCell ref="B43:Q43"/>
    <mergeCell ref="A1:Q1"/>
    <mergeCell ref="B36:Q36"/>
    <mergeCell ref="B32:Q32"/>
    <mergeCell ref="B45:Q45"/>
    <mergeCell ref="B41:Q41"/>
    <mergeCell ref="B35:Q35"/>
    <mergeCell ref="A2:Q2"/>
    <mergeCell ref="B34:Q34"/>
    <mergeCell ref="B37:Q37"/>
    <mergeCell ref="B28:Q28"/>
    <mergeCell ref="B40:Q40"/>
    <mergeCell ref="B30:Q30"/>
    <mergeCell ref="B33:Q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zoomScaleNormal="100" workbookViewId="0">
      <selection activeCell="A2" sqref="A2:K2"/>
    </sheetView>
  </sheetViews>
  <sheetFormatPr baseColWidth="10" defaultColWidth="8.6640625" defaultRowHeight="15" x14ac:dyDescent="0.2"/>
  <cols>
    <col min="1" max="1" width="20" customWidth="1"/>
    <col min="2" max="2" width="8" customWidth="1"/>
    <col min="3" max="3" width="22" customWidth="1"/>
    <col min="4" max="6" width="12" customWidth="1"/>
    <col min="7" max="11" width="14" customWidth="1"/>
  </cols>
  <sheetData>
    <row r="1" spans="1:11" ht="30" customHeight="1" x14ac:dyDescent="0.2">
      <c r="A1" s="20" t="s">
        <v>101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8" customHeight="1" x14ac:dyDescent="0.2">
      <c r="A2" s="26" t="s">
        <v>166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39.75" customHeight="1" x14ac:dyDescent="0.2">
      <c r="A3" s="1" t="s">
        <v>2</v>
      </c>
      <c r="B3" s="1" t="s">
        <v>3</v>
      </c>
      <c r="C3" s="1" t="s">
        <v>102</v>
      </c>
      <c r="D3" s="1" t="s">
        <v>6</v>
      </c>
      <c r="E3" s="1" t="s">
        <v>7</v>
      </c>
      <c r="F3" s="1" t="s">
        <v>103</v>
      </c>
      <c r="G3" s="1" t="s">
        <v>104</v>
      </c>
      <c r="H3" s="1" t="s">
        <v>105</v>
      </c>
      <c r="I3" s="1" t="s">
        <v>106</v>
      </c>
      <c r="J3" s="1" t="s">
        <v>107</v>
      </c>
      <c r="K3" s="1" t="s">
        <v>108</v>
      </c>
    </row>
    <row r="4" spans="1:11" ht="21.75" customHeight="1" x14ac:dyDescent="0.2">
      <c r="A4" s="2" t="s">
        <v>19</v>
      </c>
      <c r="B4" s="3" t="s">
        <v>20</v>
      </c>
      <c r="C4" s="4" t="s">
        <v>109</v>
      </c>
      <c r="D4" s="7">
        <v>144300</v>
      </c>
      <c r="E4" s="7">
        <v>79</v>
      </c>
      <c r="F4" s="7">
        <v>1161</v>
      </c>
      <c r="G4" s="7">
        <v>1400000</v>
      </c>
      <c r="H4" s="7">
        <v>1143</v>
      </c>
      <c r="I4" s="7">
        <v>2731</v>
      </c>
      <c r="J4" s="7">
        <v>5039</v>
      </c>
      <c r="K4" s="14">
        <f t="shared" ref="K4:K24" si="0">IFERROR(AVERAGE(H4:J4),"")</f>
        <v>2971</v>
      </c>
    </row>
    <row r="5" spans="1:11" ht="21.75" customHeight="1" x14ac:dyDescent="0.2">
      <c r="A5" s="2" t="s">
        <v>26</v>
      </c>
      <c r="B5" s="3" t="s">
        <v>20</v>
      </c>
      <c r="C5" s="4" t="s">
        <v>27</v>
      </c>
      <c r="D5" s="7">
        <v>233900</v>
      </c>
      <c r="E5" s="7">
        <v>81</v>
      </c>
      <c r="F5" s="7">
        <v>1032</v>
      </c>
      <c r="G5" s="7">
        <v>2500000</v>
      </c>
      <c r="H5" s="7">
        <v>569</v>
      </c>
      <c r="I5" s="7">
        <v>1652</v>
      </c>
      <c r="J5" s="7">
        <v>1025</v>
      </c>
      <c r="K5" s="14">
        <f t="shared" si="0"/>
        <v>1082</v>
      </c>
    </row>
    <row r="6" spans="1:11" ht="21.75" customHeight="1" x14ac:dyDescent="0.2">
      <c r="A6" s="2" t="s">
        <v>30</v>
      </c>
      <c r="B6" s="3" t="s">
        <v>20</v>
      </c>
      <c r="C6" s="4" t="s">
        <v>110</v>
      </c>
      <c r="D6" s="7">
        <v>8916</v>
      </c>
      <c r="E6" s="7">
        <v>22</v>
      </c>
      <c r="F6" s="7">
        <v>338</v>
      </c>
      <c r="G6" s="7">
        <v>48000</v>
      </c>
      <c r="H6" s="7">
        <v>848</v>
      </c>
      <c r="I6" s="7">
        <v>874</v>
      </c>
      <c r="J6" s="7">
        <v>533</v>
      </c>
      <c r="K6" s="14">
        <f t="shared" si="0"/>
        <v>751.66666666666663</v>
      </c>
    </row>
    <row r="7" spans="1:11" ht="21.75" customHeight="1" x14ac:dyDescent="0.2">
      <c r="A7" s="2" t="s">
        <v>37</v>
      </c>
      <c r="B7" s="3" t="s">
        <v>20</v>
      </c>
      <c r="C7" s="4" t="s">
        <v>38</v>
      </c>
      <c r="D7" s="7">
        <v>1022</v>
      </c>
      <c r="E7" s="7">
        <v>88</v>
      </c>
      <c r="F7" s="7">
        <v>44</v>
      </c>
      <c r="G7" s="7">
        <v>2408</v>
      </c>
      <c r="H7" s="7">
        <v>265</v>
      </c>
      <c r="I7" s="7">
        <v>279</v>
      </c>
      <c r="J7" s="7">
        <v>265</v>
      </c>
      <c r="K7" s="14">
        <f t="shared" si="0"/>
        <v>269.66666666666669</v>
      </c>
    </row>
    <row r="8" spans="1:11" ht="21.75" customHeight="1" x14ac:dyDescent="0.2">
      <c r="A8" s="2" t="s">
        <v>41</v>
      </c>
      <c r="B8" s="3" t="s">
        <v>42</v>
      </c>
      <c r="C8" s="4" t="s">
        <v>111</v>
      </c>
      <c r="D8" s="7">
        <v>1500000</v>
      </c>
      <c r="E8" s="7">
        <v>713</v>
      </c>
      <c r="F8" s="7">
        <v>7541</v>
      </c>
      <c r="G8" s="7">
        <v>21400000</v>
      </c>
      <c r="H8" s="7">
        <v>1108</v>
      </c>
      <c r="I8" s="7">
        <v>3535</v>
      </c>
      <c r="J8" s="7">
        <v>2358</v>
      </c>
      <c r="K8" s="14">
        <f t="shared" si="0"/>
        <v>2333.6666666666665</v>
      </c>
    </row>
    <row r="9" spans="1:11" ht="21.75" customHeight="1" x14ac:dyDescent="0.2">
      <c r="A9" s="2" t="s">
        <v>45</v>
      </c>
      <c r="B9" s="3" t="s">
        <v>46</v>
      </c>
      <c r="C9" s="4" t="s">
        <v>47</v>
      </c>
      <c r="D9" s="7">
        <v>187300</v>
      </c>
      <c r="E9" s="7">
        <v>0</v>
      </c>
      <c r="F9" s="7">
        <v>791</v>
      </c>
      <c r="G9" s="7">
        <v>1400000</v>
      </c>
      <c r="H9" s="7">
        <v>6517</v>
      </c>
      <c r="I9" s="7">
        <v>15500</v>
      </c>
      <c r="J9" s="7">
        <v>15100</v>
      </c>
      <c r="K9" s="14">
        <f t="shared" si="0"/>
        <v>12372.333333333334</v>
      </c>
    </row>
    <row r="10" spans="1:11" ht="21.75" customHeight="1" x14ac:dyDescent="0.2">
      <c r="A10" s="2" t="s">
        <v>49</v>
      </c>
      <c r="B10" s="3" t="s">
        <v>46</v>
      </c>
      <c r="C10" s="4" t="s">
        <v>50</v>
      </c>
      <c r="D10" s="7">
        <v>71700</v>
      </c>
      <c r="E10" s="7">
        <v>220</v>
      </c>
      <c r="F10" s="7">
        <v>1081</v>
      </c>
      <c r="G10" s="7">
        <v>503100</v>
      </c>
      <c r="H10" s="7">
        <v>386</v>
      </c>
      <c r="I10" s="7">
        <v>528</v>
      </c>
      <c r="J10" s="7">
        <v>882</v>
      </c>
      <c r="K10" s="14">
        <f t="shared" si="0"/>
        <v>598.66666666666663</v>
      </c>
    </row>
    <row r="11" spans="1:11" ht="21.75" customHeight="1" x14ac:dyDescent="0.2">
      <c r="A11" s="2" t="s">
        <v>53</v>
      </c>
      <c r="B11" s="3" t="s">
        <v>46</v>
      </c>
      <c r="C11" s="4" t="s">
        <v>112</v>
      </c>
      <c r="D11" s="7">
        <v>15200</v>
      </c>
      <c r="E11" s="7">
        <v>165</v>
      </c>
      <c r="F11" s="7">
        <v>245</v>
      </c>
      <c r="G11" s="7">
        <v>99100</v>
      </c>
      <c r="H11" s="7">
        <v>402</v>
      </c>
      <c r="I11" s="7">
        <v>582</v>
      </c>
      <c r="J11" s="7">
        <v>531</v>
      </c>
      <c r="K11" s="14">
        <f t="shared" si="0"/>
        <v>505</v>
      </c>
    </row>
    <row r="12" spans="1:11" ht="21.75" customHeight="1" x14ac:dyDescent="0.2">
      <c r="A12" s="2" t="s">
        <v>56</v>
      </c>
      <c r="B12" s="3" t="s">
        <v>20</v>
      </c>
      <c r="C12" s="4" t="s">
        <v>57</v>
      </c>
      <c r="D12" s="7">
        <v>70100</v>
      </c>
      <c r="E12" s="7">
        <v>1038</v>
      </c>
      <c r="F12" s="7">
        <v>855</v>
      </c>
      <c r="G12" s="7">
        <v>698700</v>
      </c>
      <c r="H12" s="7">
        <v>3463</v>
      </c>
      <c r="I12" s="7">
        <v>85000</v>
      </c>
      <c r="J12" s="7">
        <v>3434</v>
      </c>
      <c r="K12" s="14">
        <f t="shared" si="0"/>
        <v>30632.333333333332</v>
      </c>
    </row>
    <row r="13" spans="1:11" ht="21.75" customHeight="1" x14ac:dyDescent="0.2">
      <c r="A13" s="2" t="s">
        <v>59</v>
      </c>
      <c r="B13" s="3" t="s">
        <v>46</v>
      </c>
      <c r="C13" s="4" t="s">
        <v>60</v>
      </c>
      <c r="D13" s="7">
        <v>4541</v>
      </c>
      <c r="E13" s="7">
        <v>283</v>
      </c>
      <c r="F13" s="7">
        <v>112</v>
      </c>
      <c r="G13" s="7">
        <v>206900</v>
      </c>
      <c r="H13" s="7">
        <v>325</v>
      </c>
      <c r="I13" s="7">
        <v>539</v>
      </c>
      <c r="J13" s="7">
        <v>593</v>
      </c>
      <c r="K13" s="14">
        <f t="shared" si="0"/>
        <v>485.66666666666669</v>
      </c>
    </row>
    <row r="14" spans="1:11" ht="21.75" customHeight="1" x14ac:dyDescent="0.2">
      <c r="A14" s="2" t="s">
        <v>62</v>
      </c>
      <c r="B14" s="3" t="s">
        <v>63</v>
      </c>
      <c r="C14" s="4" t="s">
        <v>64</v>
      </c>
      <c r="D14" s="5">
        <v>967400</v>
      </c>
      <c r="E14" s="5">
        <v>4191</v>
      </c>
      <c r="F14" s="7">
        <v>282</v>
      </c>
      <c r="G14" s="5">
        <v>16400000</v>
      </c>
      <c r="H14" s="7">
        <v>24400</v>
      </c>
      <c r="I14" s="7">
        <v>30300</v>
      </c>
      <c r="J14" s="7">
        <v>45600</v>
      </c>
      <c r="K14" s="14">
        <f t="shared" si="0"/>
        <v>33433.333333333336</v>
      </c>
    </row>
    <row r="15" spans="1:11" ht="21.75" customHeight="1" x14ac:dyDescent="0.2">
      <c r="A15" s="2" t="s">
        <v>66</v>
      </c>
      <c r="B15" s="3" t="s">
        <v>67</v>
      </c>
      <c r="C15" s="4" t="s">
        <v>68</v>
      </c>
      <c r="D15" s="7">
        <v>865600</v>
      </c>
      <c r="E15" s="7">
        <v>103</v>
      </c>
      <c r="F15" s="7">
        <v>807</v>
      </c>
      <c r="G15" s="7">
        <v>8300000</v>
      </c>
      <c r="H15" s="7">
        <v>1026</v>
      </c>
      <c r="I15" s="7">
        <v>993</v>
      </c>
      <c r="J15" s="7">
        <v>121100</v>
      </c>
      <c r="K15" s="14">
        <f t="shared" si="0"/>
        <v>41039.666666666664</v>
      </c>
    </row>
    <row r="16" spans="1:11" ht="21.75" customHeight="1" x14ac:dyDescent="0.2">
      <c r="A16" s="2" t="s">
        <v>69</v>
      </c>
      <c r="B16" s="3" t="s">
        <v>67</v>
      </c>
      <c r="C16" s="4" t="s">
        <v>70</v>
      </c>
      <c r="D16" s="7">
        <v>14100000</v>
      </c>
      <c r="E16" s="7">
        <v>40</v>
      </c>
      <c r="F16" s="7">
        <v>607</v>
      </c>
      <c r="G16" s="7">
        <v>52000000</v>
      </c>
      <c r="H16" s="7">
        <v>2700000</v>
      </c>
      <c r="I16" s="7">
        <v>3900000</v>
      </c>
      <c r="J16" s="7">
        <v>8000000</v>
      </c>
      <c r="K16" s="14">
        <f t="shared" si="0"/>
        <v>4866666.666666667</v>
      </c>
    </row>
    <row r="17" spans="1:11" ht="21.75" customHeight="1" x14ac:dyDescent="0.2">
      <c r="A17" s="2" t="s">
        <v>71</v>
      </c>
      <c r="B17" s="3" t="s">
        <v>20</v>
      </c>
      <c r="C17" s="4" t="s">
        <v>72</v>
      </c>
      <c r="D17" s="7">
        <v>162700</v>
      </c>
      <c r="E17" s="7">
        <v>166</v>
      </c>
      <c r="F17" s="7">
        <v>2314</v>
      </c>
      <c r="G17" s="7">
        <v>1900000</v>
      </c>
      <c r="H17" s="7">
        <v>938</v>
      </c>
      <c r="I17" s="7">
        <v>2318</v>
      </c>
      <c r="J17" s="7">
        <v>2557</v>
      </c>
      <c r="K17" s="14">
        <f t="shared" si="0"/>
        <v>1937.6666666666667</v>
      </c>
    </row>
    <row r="18" spans="1:11" ht="21.75" customHeight="1" x14ac:dyDescent="0.2">
      <c r="A18" s="2" t="s">
        <v>73</v>
      </c>
      <c r="B18" s="3" t="s">
        <v>74</v>
      </c>
      <c r="C18" s="4" t="s">
        <v>75</v>
      </c>
      <c r="D18" s="7">
        <v>2200000</v>
      </c>
      <c r="E18" s="7">
        <v>667</v>
      </c>
      <c r="F18" s="7">
        <v>413</v>
      </c>
      <c r="G18" s="7">
        <v>24300000</v>
      </c>
      <c r="H18" s="7">
        <v>1213</v>
      </c>
      <c r="I18" s="7">
        <v>1590</v>
      </c>
      <c r="J18" s="7">
        <v>690700</v>
      </c>
      <c r="K18" s="14">
        <f t="shared" si="0"/>
        <v>231167.66666666666</v>
      </c>
    </row>
    <row r="19" spans="1:11" ht="21.75" customHeight="1" x14ac:dyDescent="0.2">
      <c r="A19" s="2" t="s">
        <v>76</v>
      </c>
      <c r="B19" s="3" t="s">
        <v>20</v>
      </c>
      <c r="C19" s="4" t="s">
        <v>113</v>
      </c>
      <c r="D19" s="7">
        <v>1100000</v>
      </c>
      <c r="E19" s="7">
        <v>256</v>
      </c>
      <c r="F19" s="7">
        <v>1459</v>
      </c>
      <c r="G19" s="7">
        <v>11200000</v>
      </c>
      <c r="H19" s="7">
        <v>272</v>
      </c>
      <c r="I19" s="7">
        <v>3215</v>
      </c>
      <c r="J19" s="7">
        <v>3694</v>
      </c>
      <c r="K19" s="14">
        <f t="shared" si="0"/>
        <v>2393.6666666666665</v>
      </c>
    </row>
    <row r="20" spans="1:11" ht="21.75" customHeight="1" x14ac:dyDescent="0.2">
      <c r="A20" s="2" t="s">
        <v>78</v>
      </c>
      <c r="B20" s="3" t="s">
        <v>63</v>
      </c>
      <c r="C20" s="4" t="s">
        <v>114</v>
      </c>
      <c r="D20" s="7">
        <v>159400</v>
      </c>
      <c r="E20" s="7">
        <v>0</v>
      </c>
      <c r="F20" s="7">
        <v>249</v>
      </c>
      <c r="G20" s="7">
        <v>639400</v>
      </c>
      <c r="H20" s="7">
        <v>14500</v>
      </c>
      <c r="I20" s="7">
        <v>25600</v>
      </c>
      <c r="J20" s="7">
        <v>57100</v>
      </c>
      <c r="K20" s="14">
        <f t="shared" si="0"/>
        <v>32400</v>
      </c>
    </row>
    <row r="21" spans="1:11" ht="21.75" customHeight="1" x14ac:dyDescent="0.2">
      <c r="A21" s="2" t="s">
        <v>80</v>
      </c>
      <c r="B21" s="3" t="s">
        <v>67</v>
      </c>
      <c r="C21" s="4" t="s">
        <v>115</v>
      </c>
      <c r="D21" s="7">
        <v>11100000</v>
      </c>
      <c r="E21" s="7">
        <v>162</v>
      </c>
      <c r="F21" s="7">
        <v>2039</v>
      </c>
      <c r="G21" s="7">
        <v>92100000</v>
      </c>
      <c r="H21" s="7">
        <v>4350</v>
      </c>
      <c r="I21" s="7">
        <v>15800</v>
      </c>
      <c r="J21" s="7">
        <v>17600</v>
      </c>
      <c r="K21" s="14">
        <f t="shared" si="0"/>
        <v>12583.333333333334</v>
      </c>
    </row>
    <row r="22" spans="1:11" ht="21.75" customHeight="1" x14ac:dyDescent="0.2">
      <c r="A22" s="2" t="s">
        <v>82</v>
      </c>
      <c r="B22" s="3" t="s">
        <v>20</v>
      </c>
      <c r="C22" s="4" t="s">
        <v>83</v>
      </c>
      <c r="D22" s="7">
        <v>39900</v>
      </c>
      <c r="E22" s="7">
        <v>90</v>
      </c>
      <c r="F22" s="7">
        <v>516</v>
      </c>
      <c r="G22" s="7">
        <v>581800</v>
      </c>
      <c r="H22" s="7">
        <v>1157</v>
      </c>
      <c r="I22" s="7">
        <v>895</v>
      </c>
      <c r="J22" s="7">
        <v>2915</v>
      </c>
      <c r="K22" s="14">
        <f t="shared" si="0"/>
        <v>1655.6666666666667</v>
      </c>
    </row>
    <row r="23" spans="1:11" ht="21.75" customHeight="1" x14ac:dyDescent="0.2">
      <c r="A23" s="2" t="s">
        <v>84</v>
      </c>
      <c r="B23" s="3" t="s">
        <v>20</v>
      </c>
      <c r="C23" s="4" t="s">
        <v>85</v>
      </c>
      <c r="D23" s="7">
        <v>128400</v>
      </c>
      <c r="E23" s="7">
        <v>211</v>
      </c>
      <c r="F23" s="7">
        <v>1077</v>
      </c>
      <c r="G23" s="7">
        <v>1800000</v>
      </c>
      <c r="H23" s="7">
        <v>2949</v>
      </c>
      <c r="I23" s="7">
        <v>4886</v>
      </c>
      <c r="J23" s="7">
        <v>1851</v>
      </c>
      <c r="K23" s="14">
        <f t="shared" si="0"/>
        <v>3228.6666666666665</v>
      </c>
    </row>
    <row r="24" spans="1:11" ht="21.75" customHeight="1" x14ac:dyDescent="0.2">
      <c r="A24" s="2" t="s">
        <v>86</v>
      </c>
      <c r="B24" s="3" t="s">
        <v>74</v>
      </c>
      <c r="C24" s="4" t="s">
        <v>87</v>
      </c>
      <c r="D24" s="7">
        <v>2000000</v>
      </c>
      <c r="E24" s="7">
        <v>183</v>
      </c>
      <c r="F24" s="7">
        <v>1673</v>
      </c>
      <c r="G24" s="7">
        <v>35000000</v>
      </c>
      <c r="H24" s="7">
        <v>3266</v>
      </c>
      <c r="I24" s="7">
        <v>7806</v>
      </c>
      <c r="J24" s="7">
        <v>7668</v>
      </c>
      <c r="K24" s="14">
        <f t="shared" si="0"/>
        <v>6246.666666666667</v>
      </c>
    </row>
    <row r="25" spans="1:11" ht="34.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21.75" customHeight="1" x14ac:dyDescent="0.2">
      <c r="A26" s="23" t="s">
        <v>18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 ht="34.5" customHeight="1" x14ac:dyDescent="0.2">
      <c r="A27" s="2" t="s">
        <v>19</v>
      </c>
      <c r="B27" s="25" t="s">
        <v>116</v>
      </c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34.5" customHeight="1" x14ac:dyDescent="0.2">
      <c r="A28" s="2" t="s">
        <v>26</v>
      </c>
      <c r="B28" s="25" t="s">
        <v>117</v>
      </c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34.5" customHeight="1" x14ac:dyDescent="0.2">
      <c r="A29" s="2" t="s">
        <v>30</v>
      </c>
      <c r="B29" s="25" t="s">
        <v>118</v>
      </c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34.5" customHeight="1" x14ac:dyDescent="0.2">
      <c r="A30" s="2" t="s">
        <v>37</v>
      </c>
      <c r="B30" s="25" t="s">
        <v>119</v>
      </c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34.5" customHeight="1" x14ac:dyDescent="0.2">
      <c r="A31" s="2" t="s">
        <v>41</v>
      </c>
      <c r="B31" s="25" t="s">
        <v>120</v>
      </c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34.5" customHeight="1" x14ac:dyDescent="0.2">
      <c r="A32" s="2" t="s">
        <v>45</v>
      </c>
      <c r="B32" s="25" t="s">
        <v>121</v>
      </c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34.5" customHeight="1" x14ac:dyDescent="0.2">
      <c r="A33" s="2" t="s">
        <v>49</v>
      </c>
      <c r="B33" s="25" t="s">
        <v>117</v>
      </c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34.5" customHeight="1" x14ac:dyDescent="0.2">
      <c r="A34" s="2" t="s">
        <v>53</v>
      </c>
      <c r="B34" s="25" t="s">
        <v>122</v>
      </c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34.5" customHeight="1" x14ac:dyDescent="0.2">
      <c r="A35" s="2" t="s">
        <v>56</v>
      </c>
      <c r="B35" s="25" t="s">
        <v>123</v>
      </c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34.5" customHeight="1" x14ac:dyDescent="0.2">
      <c r="A36" s="2" t="s">
        <v>59</v>
      </c>
      <c r="B36" s="25" t="s">
        <v>117</v>
      </c>
      <c r="C36" s="21"/>
      <c r="D36" s="21"/>
      <c r="E36" s="21"/>
      <c r="F36" s="21"/>
      <c r="G36" s="21"/>
      <c r="H36" s="21"/>
      <c r="I36" s="21"/>
      <c r="J36" s="21"/>
      <c r="K36" s="21"/>
    </row>
    <row r="37" spans="1:11" ht="45" customHeight="1" x14ac:dyDescent="0.2">
      <c r="A37" s="2" t="s">
        <v>62</v>
      </c>
      <c r="B37" s="25" t="s">
        <v>124</v>
      </c>
      <c r="C37" s="21"/>
      <c r="D37" s="21"/>
      <c r="E37" s="21"/>
      <c r="F37" s="21"/>
      <c r="G37" s="21"/>
      <c r="H37" s="21"/>
      <c r="I37" s="21"/>
      <c r="J37" s="21"/>
      <c r="K37" s="21"/>
    </row>
    <row r="38" spans="1:11" ht="34.5" customHeight="1" x14ac:dyDescent="0.2">
      <c r="A38" s="2" t="s">
        <v>66</v>
      </c>
      <c r="B38" s="25" t="s">
        <v>125</v>
      </c>
      <c r="C38" s="21"/>
      <c r="D38" s="21"/>
      <c r="E38" s="21"/>
      <c r="F38" s="21"/>
      <c r="G38" s="21"/>
      <c r="H38" s="21"/>
      <c r="I38" s="21"/>
      <c r="J38" s="21"/>
      <c r="K38" s="21"/>
    </row>
    <row r="39" spans="1:11" ht="34.5" customHeight="1" x14ac:dyDescent="0.2">
      <c r="A39" s="2" t="s">
        <v>69</v>
      </c>
      <c r="B39" s="25" t="s">
        <v>126</v>
      </c>
      <c r="C39" s="21"/>
      <c r="D39" s="21"/>
      <c r="E39" s="21"/>
      <c r="F39" s="21"/>
      <c r="G39" s="21"/>
      <c r="H39" s="21"/>
      <c r="I39" s="21"/>
      <c r="J39" s="21"/>
      <c r="K39" s="21"/>
    </row>
    <row r="40" spans="1:11" ht="34.5" customHeight="1" x14ac:dyDescent="0.2">
      <c r="A40" s="2" t="s">
        <v>71</v>
      </c>
      <c r="B40" s="25" t="s">
        <v>127</v>
      </c>
      <c r="C40" s="21"/>
      <c r="D40" s="21"/>
      <c r="E40" s="21"/>
      <c r="F40" s="21"/>
      <c r="G40" s="21"/>
      <c r="H40" s="21"/>
      <c r="I40" s="21"/>
      <c r="J40" s="21"/>
      <c r="K40" s="21"/>
    </row>
    <row r="41" spans="1:11" ht="34.5" customHeight="1" x14ac:dyDescent="0.2">
      <c r="A41" s="2" t="s">
        <v>73</v>
      </c>
      <c r="B41" s="25" t="s">
        <v>128</v>
      </c>
      <c r="C41" s="21"/>
      <c r="D41" s="21"/>
      <c r="E41" s="21"/>
      <c r="F41" s="21"/>
      <c r="G41" s="21"/>
      <c r="H41" s="21"/>
      <c r="I41" s="21"/>
      <c r="J41" s="21"/>
      <c r="K41" s="21"/>
    </row>
    <row r="42" spans="1:11" ht="34.5" customHeight="1" x14ac:dyDescent="0.2">
      <c r="A42" s="2" t="s">
        <v>76</v>
      </c>
      <c r="B42" s="25" t="s">
        <v>129</v>
      </c>
      <c r="C42" s="21"/>
      <c r="D42" s="21"/>
      <c r="E42" s="21"/>
      <c r="F42" s="21"/>
      <c r="G42" s="21"/>
      <c r="H42" s="21"/>
      <c r="I42" s="21"/>
      <c r="J42" s="21"/>
      <c r="K42" s="21"/>
    </row>
    <row r="43" spans="1:11" ht="34.5" customHeight="1" x14ac:dyDescent="0.2">
      <c r="A43" s="2" t="s">
        <v>78</v>
      </c>
      <c r="B43" s="25" t="s">
        <v>130</v>
      </c>
      <c r="C43" s="21"/>
      <c r="D43" s="21"/>
      <c r="E43" s="21"/>
      <c r="F43" s="21"/>
      <c r="G43" s="21"/>
      <c r="H43" s="21"/>
      <c r="I43" s="21"/>
      <c r="J43" s="21"/>
      <c r="K43" s="21"/>
    </row>
    <row r="44" spans="1:11" ht="34.5" customHeight="1" x14ac:dyDescent="0.2">
      <c r="A44" s="2" t="s">
        <v>80</v>
      </c>
      <c r="B44" s="25" t="s">
        <v>131</v>
      </c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34.5" customHeight="1" x14ac:dyDescent="0.2">
      <c r="A45" s="2" t="s">
        <v>82</v>
      </c>
      <c r="B45" s="25" t="s">
        <v>128</v>
      </c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34.5" customHeight="1" x14ac:dyDescent="0.2">
      <c r="A46" s="2" t="s">
        <v>84</v>
      </c>
      <c r="B46" s="25" t="s">
        <v>132</v>
      </c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34.5" customHeight="1" x14ac:dyDescent="0.2">
      <c r="A47" s="2" t="s">
        <v>86</v>
      </c>
      <c r="B47" s="25" t="s">
        <v>128</v>
      </c>
      <c r="C47" s="21"/>
      <c r="D47" s="21"/>
      <c r="E47" s="21"/>
      <c r="F47" s="21"/>
      <c r="G47" s="21"/>
      <c r="H47" s="21"/>
      <c r="I47" s="21"/>
      <c r="J47" s="21"/>
      <c r="K47" s="21"/>
    </row>
  </sheetData>
  <mergeCells count="25">
    <mergeCell ref="B47:K47"/>
    <mergeCell ref="B31:K31"/>
    <mergeCell ref="B46:K46"/>
    <mergeCell ref="A26:K26"/>
    <mergeCell ref="B27:K27"/>
    <mergeCell ref="B43:K43"/>
    <mergeCell ref="B39:K39"/>
    <mergeCell ref="B42:K42"/>
    <mergeCell ref="B44:K44"/>
    <mergeCell ref="B29:K29"/>
    <mergeCell ref="B38:K38"/>
    <mergeCell ref="B34:K34"/>
    <mergeCell ref="B28:K28"/>
    <mergeCell ref="B37:K37"/>
    <mergeCell ref="B45:K45"/>
    <mergeCell ref="B41:K41"/>
    <mergeCell ref="B32:K32"/>
    <mergeCell ref="A25:K25"/>
    <mergeCell ref="B35:K35"/>
    <mergeCell ref="B40:K40"/>
    <mergeCell ref="B30:K30"/>
    <mergeCell ref="B33:K33"/>
    <mergeCell ref="A1:K1"/>
    <mergeCell ref="B36:K36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zoomScaleNormal="100" workbookViewId="0">
      <selection activeCell="D9" sqref="D9"/>
    </sheetView>
  </sheetViews>
  <sheetFormatPr baseColWidth="10" defaultColWidth="8.6640625" defaultRowHeight="15" x14ac:dyDescent="0.2"/>
  <cols>
    <col min="1" max="1" width="20" customWidth="1"/>
    <col min="2" max="2" width="8" customWidth="1"/>
    <col min="3" max="3" width="10" customWidth="1"/>
    <col min="4" max="5" width="14" customWidth="1"/>
    <col min="6" max="6" width="16" customWidth="1"/>
    <col min="7" max="7" width="18" customWidth="1"/>
    <col min="8" max="10" width="16" customWidth="1"/>
    <col min="11" max="11" width="40" customWidth="1"/>
  </cols>
  <sheetData>
    <row r="1" spans="1:11" ht="30" customHeight="1" x14ac:dyDescent="0.2">
      <c r="A1" s="20" t="s">
        <v>133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" customHeight="1" x14ac:dyDescent="0.2">
      <c r="A2" s="27" t="s">
        <v>134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45" customHeight="1" x14ac:dyDescent="0.2">
      <c r="A3" s="1" t="s">
        <v>2</v>
      </c>
      <c r="B3" s="1" t="s">
        <v>3</v>
      </c>
      <c r="C3" s="1" t="s">
        <v>4</v>
      </c>
      <c r="D3" s="1" t="s">
        <v>135</v>
      </c>
      <c r="E3" s="1" t="s">
        <v>136</v>
      </c>
      <c r="F3" s="1" t="s">
        <v>137</v>
      </c>
      <c r="G3" s="1" t="s">
        <v>138</v>
      </c>
      <c r="H3" s="1" t="s">
        <v>139</v>
      </c>
      <c r="I3" s="1" t="s">
        <v>140</v>
      </c>
      <c r="J3" s="1" t="s">
        <v>141</v>
      </c>
      <c r="K3" s="1" t="s">
        <v>142</v>
      </c>
    </row>
    <row r="4" spans="1:11" ht="21.75" customHeight="1" x14ac:dyDescent="0.2">
      <c r="A4" s="2" t="s">
        <v>19</v>
      </c>
      <c r="B4" s="3" t="s">
        <v>20</v>
      </c>
      <c r="C4" s="3" t="s">
        <v>21</v>
      </c>
      <c r="D4" s="14">
        <f>IFERROR(Instagram!E5,"")</f>
        <v>2400000</v>
      </c>
      <c r="E4" s="15">
        <f>IFERROR(Instagram!N5,"")</f>
        <v>4.8000000000000001E-2</v>
      </c>
      <c r="F4" s="6">
        <f>IFERROR(Instagram!G5,"")</f>
        <v>2679</v>
      </c>
      <c r="G4" s="16" t="str">
        <f>IFERROR(Instagram!I5&amp;"/"&amp;Instagram!J5&amp;"/"&amp;Instagram!K5,"")</f>
        <v>9/0/3</v>
      </c>
      <c r="H4" s="14">
        <f>IFERROR(TikTok!D4,"")</f>
        <v>144300</v>
      </c>
      <c r="I4" s="14">
        <f>IFERROR(TikTok!K4,"")</f>
        <v>2971</v>
      </c>
      <c r="J4" s="6">
        <f t="shared" ref="J4:J24" si="0">IFERROR(D4+H4,"")</f>
        <v>2544300</v>
      </c>
      <c r="K4" s="7"/>
    </row>
    <row r="5" spans="1:11" ht="21.75" customHeight="1" x14ac:dyDescent="0.2">
      <c r="A5" s="2" t="s">
        <v>26</v>
      </c>
      <c r="B5" s="3" t="s">
        <v>20</v>
      </c>
      <c r="C5" s="3" t="s">
        <v>21</v>
      </c>
      <c r="D5" s="14">
        <f>IFERROR(Instagram!E6,"")</f>
        <v>3400000</v>
      </c>
      <c r="E5" s="15">
        <f>IFERROR(Instagram!N6,"")</f>
        <v>1.9E-2</v>
      </c>
      <c r="F5" s="6">
        <f>IFERROR(Instagram!G6,"")</f>
        <v>11003</v>
      </c>
      <c r="G5" s="16" t="str">
        <f>IFERROR(Instagram!I6&amp;"/"&amp;Instagram!J6&amp;"/"&amp;Instagram!K6,"")</f>
        <v>8/0/4</v>
      </c>
      <c r="H5" s="14">
        <f>IFERROR(TikTok!D5,"")</f>
        <v>233900</v>
      </c>
      <c r="I5" s="14">
        <f>IFERROR(TikTok!K5,"")</f>
        <v>1082</v>
      </c>
      <c r="J5" s="6">
        <f t="shared" si="0"/>
        <v>3633900</v>
      </c>
      <c r="K5" s="7"/>
    </row>
    <row r="6" spans="1:11" ht="21.75" customHeight="1" x14ac:dyDescent="0.2">
      <c r="A6" s="2" t="s">
        <v>30</v>
      </c>
      <c r="B6" s="3" t="s">
        <v>20</v>
      </c>
      <c r="C6" s="3" t="s">
        <v>31</v>
      </c>
      <c r="D6" s="14">
        <f>IFERROR(Instagram!E7,"")</f>
        <v>213000</v>
      </c>
      <c r="E6" s="15" t="str">
        <f>IFERROR(Instagram!N7,"")</f>
        <v>N/A</v>
      </c>
      <c r="F6" s="6">
        <f>IFERROR(Instagram!G7,"")</f>
        <v>444</v>
      </c>
      <c r="G6" s="16" t="str">
        <f>IFERROR(Instagram!I7&amp;"/"&amp;Instagram!J7&amp;"/"&amp;Instagram!K7,"")</f>
        <v>0/0/12</v>
      </c>
      <c r="H6" s="14">
        <f>IFERROR(TikTok!D6,"")</f>
        <v>8916</v>
      </c>
      <c r="I6" s="14">
        <f>IFERROR(TikTok!K6,"")</f>
        <v>751.66666666666663</v>
      </c>
      <c r="J6" s="6">
        <f t="shared" si="0"/>
        <v>221916</v>
      </c>
      <c r="K6" s="7"/>
    </row>
    <row r="7" spans="1:11" ht="21.75" customHeight="1" x14ac:dyDescent="0.2">
      <c r="A7" s="2" t="s">
        <v>37</v>
      </c>
      <c r="B7" s="3" t="s">
        <v>20</v>
      </c>
      <c r="C7" s="3" t="s">
        <v>31</v>
      </c>
      <c r="D7" s="14">
        <f>IFERROR(Instagram!E8,"")</f>
        <v>152000</v>
      </c>
      <c r="E7" s="15">
        <f>IFERROR(Instagram!N8,"")</f>
        <v>0.19700000000000001</v>
      </c>
      <c r="F7" s="6">
        <f>IFERROR(Instagram!G8,"")</f>
        <v>41</v>
      </c>
      <c r="G7" s="16" t="str">
        <f>IFERROR(Instagram!I8&amp;"/"&amp;Instagram!J8&amp;"/"&amp;Instagram!K8,"")</f>
        <v>0/1/11</v>
      </c>
      <c r="H7" s="14">
        <f>IFERROR(TikTok!D7,"")</f>
        <v>1022</v>
      </c>
      <c r="I7" s="14">
        <f>IFERROR(TikTok!K7,"")</f>
        <v>269.66666666666669</v>
      </c>
      <c r="J7" s="6">
        <f t="shared" si="0"/>
        <v>153022</v>
      </c>
      <c r="K7" s="7"/>
    </row>
    <row r="8" spans="1:11" ht="21.75" customHeight="1" x14ac:dyDescent="0.2">
      <c r="A8" s="2" t="s">
        <v>41</v>
      </c>
      <c r="B8" s="3" t="s">
        <v>42</v>
      </c>
      <c r="C8" s="3" t="s">
        <v>31</v>
      </c>
      <c r="D8" s="14">
        <f>IFERROR(Instagram!E9,"")</f>
        <v>2700000</v>
      </c>
      <c r="E8" s="15">
        <f>IFERROR(Instagram!N9,"")</f>
        <v>6.2E-2</v>
      </c>
      <c r="F8" s="6">
        <f>IFERROR(Instagram!G9,"")</f>
        <v>1381</v>
      </c>
      <c r="G8" s="16" t="str">
        <f>IFERROR(Instagram!I9&amp;"/"&amp;Instagram!J9&amp;"/"&amp;Instagram!K9,"")</f>
        <v>5/0/7</v>
      </c>
      <c r="H8" s="14">
        <f>IFERROR(TikTok!D8,"")</f>
        <v>1500000</v>
      </c>
      <c r="I8" s="14">
        <f>IFERROR(TikTok!K8,"")</f>
        <v>2333.6666666666665</v>
      </c>
      <c r="J8" s="6">
        <f t="shared" si="0"/>
        <v>4200000</v>
      </c>
      <c r="K8" s="7"/>
    </row>
    <row r="9" spans="1:11" ht="21.75" customHeight="1" x14ac:dyDescent="0.2">
      <c r="A9" s="2" t="s">
        <v>45</v>
      </c>
      <c r="B9" s="3" t="s">
        <v>46</v>
      </c>
      <c r="C9" s="3" t="s">
        <v>31</v>
      </c>
      <c r="D9" s="14">
        <f>IFERROR(Instagram!E10,"")</f>
        <v>258000</v>
      </c>
      <c r="E9" s="15">
        <f>IFERROR(Instagram!N10,"")</f>
        <v>1.157</v>
      </c>
      <c r="F9" s="6">
        <f>IFERROR(Instagram!G10,"")</f>
        <v>192</v>
      </c>
      <c r="G9" s="16" t="str">
        <f>IFERROR(Instagram!I10&amp;"/"&amp;Instagram!J10&amp;"/"&amp;Instagram!K10,"")</f>
        <v>3/1/8</v>
      </c>
      <c r="H9" s="14">
        <f>IFERROR(TikTok!D9,"")</f>
        <v>187300</v>
      </c>
      <c r="I9" s="14">
        <f>IFERROR(TikTok!K9,"")</f>
        <v>12372.333333333334</v>
      </c>
      <c r="J9" s="6">
        <f t="shared" si="0"/>
        <v>445300</v>
      </c>
      <c r="K9" s="7"/>
    </row>
    <row r="10" spans="1:11" ht="21.75" customHeight="1" x14ac:dyDescent="0.2">
      <c r="A10" s="2" t="s">
        <v>49</v>
      </c>
      <c r="B10" s="3" t="s">
        <v>46</v>
      </c>
      <c r="C10" s="3" t="s">
        <v>31</v>
      </c>
      <c r="D10" s="14">
        <f>IFERROR(Instagram!E11,"")</f>
        <v>777000</v>
      </c>
      <c r="E10" s="15">
        <f>IFERROR(Instagram!N11,"")</f>
        <v>5.6000000000000001E-2</v>
      </c>
      <c r="F10" s="6">
        <f>IFERROR(Instagram!G11,"")</f>
        <v>823</v>
      </c>
      <c r="G10" s="16" t="str">
        <f>IFERROR(Instagram!I11&amp;"/"&amp;Instagram!J11&amp;"/"&amp;Instagram!K11,"")</f>
        <v>5/0/7</v>
      </c>
      <c r="H10" s="14">
        <f>IFERROR(TikTok!D10,"")</f>
        <v>71700</v>
      </c>
      <c r="I10" s="14">
        <f>IFERROR(TikTok!K10,"")</f>
        <v>598.66666666666663</v>
      </c>
      <c r="J10" s="6">
        <f t="shared" si="0"/>
        <v>848700</v>
      </c>
      <c r="K10" s="7"/>
    </row>
    <row r="11" spans="1:11" ht="21.75" customHeight="1" x14ac:dyDescent="0.2">
      <c r="A11" s="2" t="s">
        <v>53</v>
      </c>
      <c r="B11" s="3" t="s">
        <v>46</v>
      </c>
      <c r="C11" s="3" t="s">
        <v>31</v>
      </c>
      <c r="D11" s="14">
        <f>IFERROR(Instagram!E12,"")</f>
        <v>156000</v>
      </c>
      <c r="E11" s="15" t="str">
        <f>IFERROR(Instagram!N12,"")</f>
        <v>N/A</v>
      </c>
      <c r="F11" s="6">
        <f>IFERROR(Instagram!G12,"")</f>
        <v>156</v>
      </c>
      <c r="G11" s="16" t="str">
        <f>IFERROR(Instagram!I12&amp;"/"&amp;Instagram!J12&amp;"/"&amp;Instagram!K12,"")</f>
        <v>3/0/9</v>
      </c>
      <c r="H11" s="14">
        <f>IFERROR(TikTok!D11,"")</f>
        <v>15200</v>
      </c>
      <c r="I11" s="14">
        <f>IFERROR(TikTok!K11,"")</f>
        <v>505</v>
      </c>
      <c r="J11" s="6">
        <f t="shared" si="0"/>
        <v>171200</v>
      </c>
      <c r="K11" s="7"/>
    </row>
    <row r="12" spans="1:11" ht="21.75" customHeight="1" x14ac:dyDescent="0.2">
      <c r="A12" s="2" t="s">
        <v>56</v>
      </c>
      <c r="B12" s="3" t="s">
        <v>20</v>
      </c>
      <c r="C12" s="3" t="s">
        <v>31</v>
      </c>
      <c r="D12" s="14">
        <f>IFERROR(Instagram!E13,"")</f>
        <v>63800</v>
      </c>
      <c r="E12" s="15">
        <f>IFERROR(Instagram!N13,"")</f>
        <v>0.182</v>
      </c>
      <c r="F12" s="6">
        <f>IFERROR(Instagram!G13,"")</f>
        <v>61</v>
      </c>
      <c r="G12" s="16" t="str">
        <f>IFERROR(Instagram!I13&amp;"/"&amp;Instagram!J13&amp;"/"&amp;Instagram!K13,"")</f>
        <v>5/2/5</v>
      </c>
      <c r="H12" s="14">
        <f>IFERROR(TikTok!D12,"")</f>
        <v>70100</v>
      </c>
      <c r="I12" s="14">
        <f>IFERROR(TikTok!K12,"")</f>
        <v>30632.333333333332</v>
      </c>
      <c r="J12" s="6">
        <f t="shared" si="0"/>
        <v>133900</v>
      </c>
      <c r="K12" s="7"/>
    </row>
    <row r="13" spans="1:11" ht="21.75" customHeight="1" x14ac:dyDescent="0.2">
      <c r="A13" s="2" t="s">
        <v>59</v>
      </c>
      <c r="B13" s="3" t="s">
        <v>46</v>
      </c>
      <c r="C13" s="3" t="s">
        <v>31</v>
      </c>
      <c r="D13" s="14">
        <f>IFERROR(Instagram!E14,"")</f>
        <v>139000</v>
      </c>
      <c r="E13" s="15" t="str">
        <f>IFERROR(Instagram!N14,"")</f>
        <v>N/A</v>
      </c>
      <c r="F13" s="6">
        <f>IFERROR(Instagram!G14,"")</f>
        <v>106</v>
      </c>
      <c r="G13" s="16" t="str">
        <f>IFERROR(Instagram!I14&amp;"/"&amp;Instagram!J14&amp;"/"&amp;Instagram!K14,"")</f>
        <v>5/0/7</v>
      </c>
      <c r="H13" s="14">
        <f>IFERROR(TikTok!D13,"")</f>
        <v>4541</v>
      </c>
      <c r="I13" s="14">
        <f>IFERROR(TikTok!K13,"")</f>
        <v>485.66666666666669</v>
      </c>
      <c r="J13" s="6">
        <f t="shared" si="0"/>
        <v>143541</v>
      </c>
      <c r="K13" s="7"/>
    </row>
    <row r="14" spans="1:11" ht="21.75" customHeight="1" x14ac:dyDescent="0.2">
      <c r="A14" s="2" t="s">
        <v>62</v>
      </c>
      <c r="B14" s="3" t="s">
        <v>63</v>
      </c>
      <c r="C14" s="3" t="s">
        <v>31</v>
      </c>
      <c r="D14" s="6">
        <f>IFERROR(Instagram!E15,"")</f>
        <v>676000</v>
      </c>
      <c r="E14" s="17">
        <f>IFERROR(Instagram!N15,"")</f>
        <v>2.3660000000000001</v>
      </c>
      <c r="F14" s="6">
        <f>IFERROR(Instagram!G15,"")</f>
        <v>12291</v>
      </c>
      <c r="G14" s="12" t="str">
        <f>IFERROR(Instagram!I15&amp;"/"&amp;Instagram!J15&amp;"/"&amp;Instagram!K15,"")</f>
        <v>0/0/12</v>
      </c>
      <c r="H14" s="6">
        <f>IFERROR(TikTok!D14,"")</f>
        <v>967400</v>
      </c>
      <c r="I14" s="6">
        <f>IFERROR(TikTok!K14,"")</f>
        <v>33433.333333333336</v>
      </c>
      <c r="J14" s="6">
        <f t="shared" si="0"/>
        <v>1643400</v>
      </c>
      <c r="K14" s="7" t="s">
        <v>143</v>
      </c>
    </row>
    <row r="15" spans="1:11" ht="21.75" customHeight="1" x14ac:dyDescent="0.2">
      <c r="A15" s="2" t="s">
        <v>66</v>
      </c>
      <c r="B15" s="3" t="s">
        <v>67</v>
      </c>
      <c r="C15" s="3" t="s">
        <v>21</v>
      </c>
      <c r="D15" s="14">
        <f>IFERROR(Instagram!E16,"")</f>
        <v>4000000</v>
      </c>
      <c r="E15" s="15">
        <f>IFERROR(Instagram!N16,"")</f>
        <v>1.2999999999999999E-2</v>
      </c>
      <c r="F15" s="6">
        <f>IFERROR(Instagram!G16,"")</f>
        <v>50000</v>
      </c>
      <c r="G15" s="16" t="str">
        <f>IFERROR(Instagram!I16&amp;"/"&amp;Instagram!J16&amp;"/"&amp;Instagram!K16,"")</f>
        <v>2/0/10</v>
      </c>
      <c r="H15" s="14">
        <f>IFERROR(TikTok!D15,"")</f>
        <v>865600</v>
      </c>
      <c r="I15" s="14">
        <f>IFERROR(TikTok!K15,"")</f>
        <v>41039.666666666664</v>
      </c>
      <c r="J15" s="6">
        <f t="shared" si="0"/>
        <v>4865600</v>
      </c>
      <c r="K15" s="7"/>
    </row>
    <row r="16" spans="1:11" ht="21.75" customHeight="1" x14ac:dyDescent="0.2">
      <c r="A16" s="2" t="s">
        <v>69</v>
      </c>
      <c r="B16" s="3" t="s">
        <v>67</v>
      </c>
      <c r="C16" s="3" t="s">
        <v>21</v>
      </c>
      <c r="D16" s="14">
        <f>IFERROR(Instagram!E17,"")</f>
        <v>2500000</v>
      </c>
      <c r="E16" s="15">
        <f>IFERROR(Instagram!N17,"")</f>
        <v>5.2999999999999999E-2</v>
      </c>
      <c r="F16" s="6">
        <f>IFERROR(Instagram!G17,"")</f>
        <v>192308</v>
      </c>
      <c r="G16" s="16" t="str">
        <f>IFERROR(Instagram!I17&amp;"/"&amp;Instagram!J17&amp;"/"&amp;Instagram!K17,"")</f>
        <v>0/0/12</v>
      </c>
      <c r="H16" s="14">
        <f>IFERROR(TikTok!D16,"")</f>
        <v>14100000</v>
      </c>
      <c r="I16" s="14">
        <f>IFERROR(TikTok!K16,"")</f>
        <v>4866666.666666667</v>
      </c>
      <c r="J16" s="6">
        <f t="shared" si="0"/>
        <v>16600000</v>
      </c>
      <c r="K16" s="7"/>
    </row>
    <row r="17" spans="1:11" ht="21.75" customHeight="1" x14ac:dyDescent="0.2">
      <c r="A17" s="2" t="s">
        <v>71</v>
      </c>
      <c r="B17" s="3" t="s">
        <v>20</v>
      </c>
      <c r="C17" s="3" t="s">
        <v>21</v>
      </c>
      <c r="D17" s="14">
        <f>IFERROR(Instagram!E18,"")</f>
        <v>123000</v>
      </c>
      <c r="E17" s="15">
        <f>IFERROR(Instagram!N18,"")</f>
        <v>0.46200000000000002</v>
      </c>
      <c r="F17" s="6">
        <f>IFERROR(Instagram!G18,"")</f>
        <v>961</v>
      </c>
      <c r="G17" s="16" t="str">
        <f>IFERROR(Instagram!I18&amp;"/"&amp;Instagram!J18&amp;"/"&amp;Instagram!K18,"")</f>
        <v>8/0/4</v>
      </c>
      <c r="H17" s="14">
        <f>IFERROR(TikTok!D17,"")</f>
        <v>162700</v>
      </c>
      <c r="I17" s="14">
        <f>IFERROR(TikTok!K17,"")</f>
        <v>1937.6666666666667</v>
      </c>
      <c r="J17" s="6">
        <f t="shared" si="0"/>
        <v>285700</v>
      </c>
      <c r="K17" s="7"/>
    </row>
    <row r="18" spans="1:11" ht="21.75" customHeight="1" x14ac:dyDescent="0.2">
      <c r="A18" s="2" t="s">
        <v>73</v>
      </c>
      <c r="B18" s="3" t="s">
        <v>74</v>
      </c>
      <c r="C18" s="3" t="s">
        <v>21</v>
      </c>
      <c r="D18" s="14">
        <f>IFERROR(Instagram!E19,"")</f>
        <v>14700000</v>
      </c>
      <c r="E18" s="15">
        <f>IFERROR(Instagram!N19,"")</f>
        <v>6.0000000000000001E-3</v>
      </c>
      <c r="F18" s="6">
        <f>IFERROR(Instagram!G19,"")</f>
        <v>11826</v>
      </c>
      <c r="G18" s="16" t="str">
        <f>IFERROR(Instagram!I19&amp;"/"&amp;Instagram!J19&amp;"/"&amp;Instagram!K19,"")</f>
        <v>5/0/7</v>
      </c>
      <c r="H18" s="14">
        <f>IFERROR(TikTok!D18,"")</f>
        <v>2200000</v>
      </c>
      <c r="I18" s="14">
        <f>IFERROR(TikTok!K18,"")</f>
        <v>231167.66666666666</v>
      </c>
      <c r="J18" s="6">
        <f t="shared" si="0"/>
        <v>16900000</v>
      </c>
      <c r="K18" s="7"/>
    </row>
    <row r="19" spans="1:11" ht="21.75" customHeight="1" x14ac:dyDescent="0.2">
      <c r="A19" s="2" t="s">
        <v>76</v>
      </c>
      <c r="B19" s="3" t="s">
        <v>20</v>
      </c>
      <c r="C19" s="3" t="s">
        <v>31</v>
      </c>
      <c r="D19" s="14">
        <f>IFERROR(Instagram!E20,"")</f>
        <v>3700000</v>
      </c>
      <c r="E19" s="15">
        <f>IFERROR(Instagram!N20,"")</f>
        <v>0.108</v>
      </c>
      <c r="F19" s="6">
        <f>IFERROR(Instagram!G20,"")</f>
        <v>63793</v>
      </c>
      <c r="G19" s="16" t="str">
        <f>IFERROR(Instagram!I20&amp;"/"&amp;Instagram!J20&amp;"/"&amp;Instagram!K20,"")</f>
        <v>6/0/6</v>
      </c>
      <c r="H19" s="14">
        <f>IFERROR(TikTok!D19,"")</f>
        <v>1100000</v>
      </c>
      <c r="I19" s="14">
        <f>IFERROR(TikTok!K19,"")</f>
        <v>2393.6666666666665</v>
      </c>
      <c r="J19" s="6">
        <f t="shared" si="0"/>
        <v>4800000</v>
      </c>
      <c r="K19" s="7"/>
    </row>
    <row r="20" spans="1:11" ht="21.75" customHeight="1" x14ac:dyDescent="0.2">
      <c r="A20" s="2" t="s">
        <v>78</v>
      </c>
      <c r="B20" s="3" t="s">
        <v>63</v>
      </c>
      <c r="C20" s="3" t="s">
        <v>21</v>
      </c>
      <c r="D20" s="14">
        <f>IFERROR(Instagram!E21,"")</f>
        <v>73600</v>
      </c>
      <c r="E20" s="15" t="str">
        <f>IFERROR(Instagram!N21,"")</f>
        <v>N/A</v>
      </c>
      <c r="F20" s="6">
        <f>IFERROR(Instagram!G21,"")</f>
        <v>73600</v>
      </c>
      <c r="G20" s="16" t="str">
        <f>IFERROR(Instagram!I21&amp;"/"&amp;Instagram!J21&amp;"/"&amp;Instagram!K21,"")</f>
        <v>0/11/1</v>
      </c>
      <c r="H20" s="14">
        <f>IFERROR(TikTok!D20,"")</f>
        <v>159400</v>
      </c>
      <c r="I20" s="14">
        <f>IFERROR(TikTok!K20,"")</f>
        <v>32400</v>
      </c>
      <c r="J20" s="6">
        <f t="shared" si="0"/>
        <v>233000</v>
      </c>
      <c r="K20" s="7"/>
    </row>
    <row r="21" spans="1:11" ht="21.75" customHeight="1" x14ac:dyDescent="0.2">
      <c r="A21" s="2" t="s">
        <v>80</v>
      </c>
      <c r="B21" s="3" t="s">
        <v>67</v>
      </c>
      <c r="C21" s="3" t="s">
        <v>21</v>
      </c>
      <c r="D21" s="14">
        <f>IFERROR(Instagram!E22,"")</f>
        <v>587000</v>
      </c>
      <c r="E21" s="15">
        <f>IFERROR(Instagram!N22,"")</f>
        <v>1.7999999999999999E-2</v>
      </c>
      <c r="F21" s="6">
        <f>IFERROR(Instagram!G22,"")</f>
        <v>1501</v>
      </c>
      <c r="G21" s="16" t="str">
        <f>IFERROR(Instagram!I22&amp;"/"&amp;Instagram!J22&amp;"/"&amp;Instagram!K22,"")</f>
        <v>3/0/9</v>
      </c>
      <c r="H21" s="14">
        <f>IFERROR(TikTok!D21,"")</f>
        <v>11100000</v>
      </c>
      <c r="I21" s="14">
        <f>IFERROR(TikTok!K21,"")</f>
        <v>12583.333333333334</v>
      </c>
      <c r="J21" s="6">
        <f t="shared" si="0"/>
        <v>11687000</v>
      </c>
      <c r="K21" s="7"/>
    </row>
    <row r="22" spans="1:11" ht="21.75" customHeight="1" x14ac:dyDescent="0.2">
      <c r="A22" s="2" t="s">
        <v>82</v>
      </c>
      <c r="B22" s="3" t="s">
        <v>20</v>
      </c>
      <c r="C22" s="3" t="s">
        <v>21</v>
      </c>
      <c r="D22" s="14">
        <f>IFERROR(Instagram!E23,"")</f>
        <v>0</v>
      </c>
      <c r="E22" s="15" t="str">
        <f>IFERROR(Instagram!N23,"")</f>
        <v>N/A</v>
      </c>
      <c r="F22" s="6" t="str">
        <f>IFERROR(Instagram!G23,"")</f>
        <v/>
      </c>
      <c r="G22" s="16" t="str">
        <f>IFERROR(Instagram!I23&amp;"/"&amp;Instagram!J23&amp;"/"&amp;Instagram!K23,"")</f>
        <v>//</v>
      </c>
      <c r="H22" s="14">
        <f>IFERROR(TikTok!D22,"")</f>
        <v>39900</v>
      </c>
      <c r="I22" s="14">
        <f>IFERROR(TikTok!K22,"")</f>
        <v>1655.6666666666667</v>
      </c>
      <c r="J22" s="6">
        <f t="shared" si="0"/>
        <v>39900</v>
      </c>
      <c r="K22" s="7"/>
    </row>
    <row r="23" spans="1:11" ht="21.75" customHeight="1" x14ac:dyDescent="0.2">
      <c r="A23" s="2" t="s">
        <v>84</v>
      </c>
      <c r="B23" s="3" t="s">
        <v>20</v>
      </c>
      <c r="C23" s="3" t="s">
        <v>21</v>
      </c>
      <c r="D23" s="14">
        <f>IFERROR(Instagram!E24,"")</f>
        <v>838000</v>
      </c>
      <c r="E23" s="15">
        <f>IFERROR(Instagram!N24,"")</f>
        <v>6.9000000000000006E-2</v>
      </c>
      <c r="F23" s="6">
        <f>IFERROR(Instagram!G24,"")</f>
        <v>690</v>
      </c>
      <c r="G23" s="16" t="str">
        <f>IFERROR(Instagram!I24&amp;"/"&amp;Instagram!J24&amp;"/"&amp;Instagram!K24,"")</f>
        <v>9/0/3</v>
      </c>
      <c r="H23" s="14">
        <f>IFERROR(TikTok!D23,"")</f>
        <v>128400</v>
      </c>
      <c r="I23" s="14">
        <f>IFERROR(TikTok!K23,"")</f>
        <v>3228.6666666666665</v>
      </c>
      <c r="J23" s="6">
        <f t="shared" si="0"/>
        <v>966400</v>
      </c>
      <c r="K23" s="7"/>
    </row>
    <row r="24" spans="1:11" ht="21.75" customHeight="1" x14ac:dyDescent="0.2">
      <c r="A24" s="2" t="s">
        <v>86</v>
      </c>
      <c r="B24" s="3" t="s">
        <v>74</v>
      </c>
      <c r="C24" s="3" t="s">
        <v>21</v>
      </c>
      <c r="D24" s="14">
        <f>IFERROR(Instagram!E25,"")</f>
        <v>11300000</v>
      </c>
      <c r="E24" s="15">
        <f>IFERROR(Instagram!N25,"")</f>
        <v>4.7E-2</v>
      </c>
      <c r="F24" s="6">
        <f>IFERROR(Instagram!G25,"")</f>
        <v>11057</v>
      </c>
      <c r="G24" s="16" t="str">
        <f>IFERROR(Instagram!I25&amp;"/"&amp;Instagram!J25&amp;"/"&amp;Instagram!K25,"")</f>
        <v>10/0/2</v>
      </c>
      <c r="H24" s="14">
        <f>IFERROR(TikTok!D24,"")</f>
        <v>2000000</v>
      </c>
      <c r="I24" s="14">
        <f>IFERROR(TikTok!K24,"")</f>
        <v>6246.666666666667</v>
      </c>
      <c r="J24" s="6">
        <f t="shared" si="0"/>
        <v>13300000</v>
      </c>
      <c r="K24" s="7"/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Instagram</vt:lpstr>
      <vt:lpstr>TikTok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sewa breiler</cp:lastModifiedBy>
  <cp:revision>0</cp:revision>
  <dcterms:created xsi:type="dcterms:W3CDTF">2026-02-27T18:08:03Z</dcterms:created>
  <dcterms:modified xsi:type="dcterms:W3CDTF">2026-03-13T09:47:17Z</dcterms:modified>
  <dc:language>en-US</dc:language>
</cp:coreProperties>
</file>