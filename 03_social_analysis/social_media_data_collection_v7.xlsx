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gram" sheetId="1" state="visible" r:id="rId3"/>
    <sheet name="TikTok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<sst xmlns="http://schemas.openxmlformats.org/spreadsheetml/2006/main" count="242" uniqueCount="112">
  <si>
    <t xml:space="preserve">Social Media Data Collection — Instagram</t>
  </si>
  <si>
    <t xml:space="preserve">Data collection: February 2026  |  Source: Instagram public profiles (manual)</t>
  </si>
  <si>
    <t xml:space="preserve">YELLOW = data entered  |  BLUE = pre-filled handle  |  GREY = auto-calculated  |  Likes hidden for: D&amp;D, Petite Plume, Pink Chicken — engagement rate unavailable for these brands</t>
  </si>
  <si>
    <t xml:space="preserve">Brand</t>
  </si>
  <si>
    <t xml:space="preserve">Market</t>
  </si>
  <si>
    <t xml:space="preserve">Positioning</t>
  </si>
  <si>
    <t xml:space="preserve">Instagram
Handle</t>
  </si>
  <si>
    <t xml:space="preserve">Followers</t>
  </si>
  <si>
    <t xml:space="preserve">Following</t>
  </si>
  <si>
    <t xml:space="preserve">Follower/Following
Ratio (auto)</t>
  </si>
  <si>
    <t xml:space="preserve">Total Posts</t>
  </si>
  <si>
    <t xml:space="preserve">Last 12:
Reels</t>
  </si>
  <si>
    <t xml:space="preserve">Last 12:
Static</t>
  </si>
  <si>
    <t xml:space="preserve">Last 12:
Carousel</t>
  </si>
  <si>
    <t xml:space="preserve">Avg Likes
(Carousel)</t>
  </si>
  <si>
    <t xml:space="preserve">Avg Likes
(Reels)</t>
  </si>
  <si>
    <t xml:space="preserve">Engagement
Rate % (auto)
[weighted all formats]</t>
  </si>
  <si>
    <t xml:space="preserve">Kids/Teen
Account?</t>
  </si>
  <si>
    <t xml:space="preserve">Content Style</t>
  </si>
  <si>
    <t xml:space="preserve">Notes</t>
  </si>
  <si>
    <t xml:space="preserve">M&amp;S</t>
  </si>
  <si>
    <t xml:space="preserve">UK</t>
  </si>
  <si>
    <t xml:space="preserve">Mass</t>
  </si>
  <si>
    <t xml:space="preserve">@marksandspencer</t>
  </si>
  <si>
    <t xml:space="preserve">No</t>
  </si>
  <si>
    <t xml:space="preserve">Product/Lifestyle</t>
  </si>
  <si>
    <t xml:space="preserve">Mixed content — food, home, fashion. @marksandspencerstyle may be better proxy for fashion analytics.</t>
  </si>
  <si>
    <t xml:space="preserve">Next</t>
  </si>
  <si>
    <t xml:space="preserve">@nextofficial</t>
  </si>
  <si>
    <t xml:space="preserve">Lifestyle/Product</t>
  </si>
  <si>
    <t xml:space="preserve">Primarily women's fashion. Only young kids/babies shown — no teen content.</t>
  </si>
  <si>
    <t xml:space="preserve">Mini Boden</t>
  </si>
  <si>
    <t xml:space="preserve">Premium</t>
  </si>
  <si>
    <t xml:space="preserve">@miniboden</t>
  </si>
  <si>
    <t xml:space="preserve">N/A — hidden</t>
  </si>
  <si>
    <t xml:space="preserve">Yes</t>
  </si>
  <si>
    <t xml:space="preserve">Product/Lifestyle/UGC</t>
  </si>
  <si>
    <t xml:space="preserve">All carousel. Heavy UGC from influencer parents. Matching mother/child sets prominent.</t>
  </si>
  <si>
    <t xml:space="preserve">Desmond &amp; Dempsey</t>
  </si>
  <si>
    <t xml:space="preserve">@desmondanddempsey</t>
  </si>
  <si>
    <t xml:space="preserve">Lifestyle/Product/UGC</t>
  </si>
  <si>
    <t xml:space="preserve">Likes hidden. Heavy influencer UGC. Lifestyle imagery: architecture, travel, interiors.</t>
  </si>
  <si>
    <t xml:space="preserve">White Fox</t>
  </si>
  <si>
    <t xml:space="preserve">AU/Global</t>
  </si>
  <si>
    <t xml:space="preserve">@whitefoxboutique</t>
  </si>
  <si>
    <t xml:space="preserve">Very high posting frequency — 12+ posts in single day observed. Emphasis on 'sexy' holiday/party aesthetic.</t>
  </si>
  <si>
    <t xml:space="preserve">Roller Rabbit</t>
  </si>
  <si>
    <t xml:space="preserve">US</t>
  </si>
  <si>
    <t xml:space="preserve">@rollerrabbitofficial</t>
  </si>
  <si>
    <t xml:space="preserve">Target collab posts generate highest engagement. Family-focused, playful, colourful.</t>
  </si>
  <si>
    <t xml:space="preserve">Posh Peanut</t>
  </si>
  <si>
    <t xml:space="preserve">@poshpeanut</t>
  </si>
  <si>
    <t xml:space="preserve">Product</t>
  </si>
  <si>
    <t xml:space="preserve">Portrait photography, plain backgrounds, product-led. Lower posting frequency (~12 posts/week).</t>
  </si>
  <si>
    <t xml:space="preserve">Petite Plume</t>
  </si>
  <si>
    <t xml:space="preserve">@petiteplume</t>
  </si>
  <si>
    <t xml:space="preserve">Likes hidden. Neutral, soft colour palette. Calm, considered aesthetic.</t>
  </si>
  <si>
    <t xml:space="preserve">Babble &amp; Goose</t>
  </si>
  <si>
    <t xml:space="preserve">@babbleandgoose</t>
  </si>
  <si>
    <t xml:space="preserve">More focus on adult loungewear. 'Sexy' aesthetic — closer to White Fox than D&amp;D.</t>
  </si>
  <si>
    <t xml:space="preserve">Pink Chicken</t>
  </si>
  <si>
    <t xml:space="preserve">@pinkchickenny</t>
  </si>
  <si>
    <t xml:space="preserve">Likes hidden. Collab with West Elm Kids. Strong print focus, diverse clothing range.</t>
  </si>
  <si>
    <t xml:space="preserve">Pink Palm Puff</t>
  </si>
  <si>
    <t xml:space="preserve">US/Global</t>
  </si>
  <si>
    <t xml:space="preserve">@pinkpalmpuff</t>
  </si>
  <si>
    <t xml:space="preserve">TikTok-native brand. Founded 2023 by Lily Balaisis. Primary platform TikTok (938K). IG ~558K — verify &amp; update.</t>
  </si>
  <si>
    <t xml:space="preserve">Qualitative Observations — Brand Strategy &amp; Content Analysis</t>
  </si>
  <si>
    <t xml:space="preserve">Campaign with highest likes was adaptive clothing (stoma bag). Broad audience, low kids/teen focus.</t>
  </si>
  <si>
    <t xml:space="preserve">Heavy women's focus. Teens and older kids absent from feed.</t>
  </si>
  <si>
    <t xml:space="preserve">Stops at age ~11. Confirms no UK premium brand serving 11+ in this aesthetic space. All carousel no reels in last 12. 12th post going back is from 14th feb.</t>
  </si>
  <si>
    <t xml:space="preserve">Adult brand with small kids line (0-10). Premium aesthetic, editorial feel. High following count suggests active influencer relationship management. 12th post going back is 4th jan.</t>
  </si>
  <si>
    <t xml:space="preserve">Algorithm-first content machine. Volume-led growth model. Not comparable to premium pyjama brands — different strategy entirely.</t>
  </si>
  <si>
    <t xml:space="preserve">Interesting dual strategy: premium social presence + mass market distribution (Target). Highest engagement rate in dataset.</t>
  </si>
  <si>
    <t xml:space="preserve">Some posts had near-zero likes, others high — inconsistent engagement. Younger kids focus.</t>
  </si>
  <si>
    <t xml:space="preserve">Closest US equivalent to the identified UK gap. Premium family pyjamas, inclusive sizing. Worth deeper analysis.</t>
  </si>
  <si>
    <t xml:space="preserve">UK-based but not a direct competitor — different positioning (adult sexy loungewear vs premium family pyjamas).</t>
  </si>
  <si>
    <t xml:space="preserve">Kids-focused brand with beautiful prints. Collab strategy mirrors Roller Rabbit (furniture/home brand partnerships). Likes hidden.</t>
  </si>
  <si>
    <t xml:space="preserve">Founder IS the influencer — entire brand built through Lily's personal TikTok. No traditional marketing. Hoodie-first brand that added pyjamas due to teen audience demand. Viral drop model: products sell out within hours, waitlists common. ~$89 price point. TikTok primary platform (inverse of most brands in dataset). Not a high frequency of posts, 12th post dates to 4th jan. recent posts have 'likes' hidden but older ones show likes.  all posts have personal feel b/c posted by founds. some photos look professional, not all.  All carousel, no reels in last 12.</t>
  </si>
  <si>
    <t xml:space="preserve">Social Media Data Collection — TikTok</t>
  </si>
  <si>
    <t xml:space="preserve">Data collection: February 2026  |  Source: TikTok public profiles (manual)  |  Mark N/A if brand has no TikTok presence</t>
  </si>
  <si>
    <t xml:space="preserve">TikTok Handle</t>
  </si>
  <si>
    <t xml:space="preserve">Total Videos</t>
  </si>
  <si>
    <t xml:space="preserve">Total Likes
(profile)</t>
  </si>
  <si>
    <t xml:space="preserve">Video 1
Views</t>
  </si>
  <si>
    <t xml:space="preserve">Video 2
Views</t>
  </si>
  <si>
    <t xml:space="preserve">Video 3
Views</t>
  </si>
  <si>
    <t xml:space="preserve">Avg Views
(auto)</t>
  </si>
  <si>
    <t xml:space="preserve">@marksandspenceruk</t>
  </si>
  <si>
    <t xml:space="preserve">@boden_clothing</t>
  </si>
  <si>
    <t xml:space="preserve">@whitefox</t>
  </si>
  <si>
    <t xml:space="preserve">@petiteplumeofficial</t>
  </si>
  <si>
    <t xml:space="preserve">Handle corrected to @marksandspenceruk (official account). Data from Countik, 27 Feb 2026.</t>
  </si>
  <si>
    <t xml:space="preserve">Data from Countik, 27 Feb 2026.</t>
  </si>
  <si>
    <t xml:space="preserve">Handle corrected to @boden_clothing (official account). Data from Countik, 27 Feb 2026.</t>
  </si>
  <si>
    <t xml:space="preserve">Data from Countik, 27 Feb 2026. Low activity account (44 total videos).</t>
  </si>
  <si>
    <t xml:space="preserve">Handle corrected to @whitefox (official account). Data from Countik, 27 Feb 2026.</t>
  </si>
  <si>
    <t xml:space="preserve">Handle corrected to @rollerrabbitofficial. Data from Countik, 27 Feb 2026.</t>
  </si>
  <si>
    <t xml:space="preserve">Handle corrected to @petiteplumeofficial. Data from Countik, 27 Feb 2026.</t>
  </si>
  <si>
    <t xml:space="preserve">Handle found: @babbleandgoose. Data from Countik, 27 Feb 2026.</t>
  </si>
  <si>
    <t xml:space="preserve">967K followers, 4,191 following, 282 videos, 16.4M total likes. Primary growth platform for brand. Founder Lily's content strategy drove viral growth — drop model, sellouts, waitlists. Avg views on top 3 videos: 24.4K / 30.3K / 45.6K. Data from Countik, Feb 2026.</t>
  </si>
  <si>
    <t xml:space="preserve">Social Media Summary — Cross-Platform Comparison</t>
  </si>
  <si>
    <t xml:space="preserve">Auto-populated from Instagram and TikTok sheets</t>
  </si>
  <si>
    <t xml:space="preserve">IG Followers</t>
  </si>
  <si>
    <t xml:space="preserve">IG Eng Rate %</t>
  </si>
  <si>
    <t xml:space="preserve">Follower/
Following Ratio</t>
  </si>
  <si>
    <t xml:space="preserve">IG Content Mix
(R/S/C of last 12)</t>
  </si>
  <si>
    <t xml:space="preserve">TikTok Followers</t>
  </si>
  <si>
    <t xml:space="preserve">TikTok Avg Views</t>
  </si>
  <si>
    <t xml:space="preserve">Total IG+TT
Followers</t>
  </si>
  <si>
    <t xml:space="preserve">Key Observation</t>
  </si>
  <si>
    <t xml:space="preserve">TikTok-native brand. Founder IS the influencer. Added pyjamas due to teen audience demand — strong validation of 11-19 premium loungewear market.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</si>
</sst>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10"/>
      <color rgb="FF444444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1A1A2E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2"/>
      <charset val="1"/>
    </font>
    <font>
      <sz val="10"/>
      <color rgb="FF000080"/>
      <name val="Arial"/>
      <family val="0"/>
      <charset val="1"/>
    </font>
    <font>
      <i val="true"/>
      <sz val="10"/>
      <name val="Arial"/>
      <family val="2"/>
      <charset val="1"/>
    </font>
    <font>
      <i val="true"/>
      <sz val="9"/>
      <color rgb="FF555555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E8F0FE"/>
        <bgColor rgb="FFF2F2F2"/>
      </patternFill>
    </fill>
    <fill>
      <patternFill patternType="solid">
        <fgColor rgb="FFFFFEF0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F5F5F5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8F0FE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5F5F5"/>
      <rgbColor rgb="FFFFFE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1A1A2E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B22" activeCellId="0" sqref="B2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1" min="9" style="0" width="10"/>
    <col collapsed="false" customWidth="true" hidden="false" outlineLevel="0" max="14" min="12" style="0" width="14"/>
    <col collapsed="false" customWidth="true" hidden="false" outlineLevel="0" max="15" min="15" style="0" width="10"/>
    <col collapsed="false" customWidth="true" hidden="false" outlineLevel="0" max="16" min="16" style="0" width="22"/>
    <col collapsed="false" customWidth="true" hidden="false" outlineLevel="0" max="17" min="17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49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</row>
    <row r="5" customFormat="false" ht="21.75" hidden="false" customHeight="true" outlineLevel="0" collapsed="false">
      <c r="A5" s="5" t="s">
        <v>20</v>
      </c>
      <c r="B5" s="6" t="s">
        <v>21</v>
      </c>
      <c r="C5" s="6" t="s">
        <v>22</v>
      </c>
      <c r="D5" s="7" t="s">
        <v>23</v>
      </c>
      <c r="E5" s="8" t="n">
        <v>2400000</v>
      </c>
      <c r="F5" s="8" t="n">
        <v>896</v>
      </c>
      <c r="G5" s="9" t="n">
        <f aca="false">IFERROR(ROUND(E5/F5,0),"")</f>
        <v>2679</v>
      </c>
      <c r="H5" s="8" t="n">
        <v>17400</v>
      </c>
      <c r="I5" s="10" t="n">
        <v>9</v>
      </c>
      <c r="J5" s="10" t="n">
        <v>0</v>
      </c>
      <c r="K5" s="10" t="n">
        <v>3</v>
      </c>
      <c r="L5" s="8" t="n">
        <v>986</v>
      </c>
      <c r="M5" s="8" t="n">
        <v>1210</v>
      </c>
      <c r="N5" s="11" t="n">
        <f aca="false">IFERROR(IF(AND(L5="N/A — hidden",M5="N/A — hidden"),"N/A",IF((IF(L5="N/A — hidden",0,K5+J5)+IF(M5="N/A — hidden",0,I5))=0,"N/A",ROUND((IF(L5="N/A — hidden",0,L5*(K5+J5))+IF(M5="N/A — hidden",0,M5*I5))/(IF(L5="N/A — hidden",0,K5+J5)+IF(M5="N/A — hidden",0,I5))/E5*100,3))),"N/A")</f>
        <v>0.048</v>
      </c>
      <c r="O5" s="10" t="s">
        <v>24</v>
      </c>
      <c r="P5" s="10" t="s">
        <v>25</v>
      </c>
      <c r="Q5" s="10" t="s">
        <v>26</v>
      </c>
    </row>
    <row r="6" customFormat="false" ht="21.75" hidden="false" customHeight="true" outlineLevel="0" collapsed="false">
      <c r="A6" s="5" t="s">
        <v>27</v>
      </c>
      <c r="B6" s="6" t="s">
        <v>21</v>
      </c>
      <c r="C6" s="6" t="s">
        <v>22</v>
      </c>
      <c r="D6" s="7" t="s">
        <v>28</v>
      </c>
      <c r="E6" s="8" t="n">
        <v>3400000</v>
      </c>
      <c r="F6" s="8" t="n">
        <v>309</v>
      </c>
      <c r="G6" s="9" t="n">
        <f aca="false">IFERROR(ROUND(E6/F6,0),"")</f>
        <v>11003</v>
      </c>
      <c r="H6" s="8" t="n">
        <v>10100</v>
      </c>
      <c r="I6" s="10" t="n">
        <v>8</v>
      </c>
      <c r="J6" s="10" t="n">
        <v>0</v>
      </c>
      <c r="K6" s="10" t="n">
        <v>4</v>
      </c>
      <c r="L6" s="8" t="n">
        <v>418</v>
      </c>
      <c r="M6" s="8" t="n">
        <v>735</v>
      </c>
      <c r="N6" s="11" t="n">
        <f aca="false">IFERROR(IF(AND(L6="N/A — hidden",M6="N/A — hidden"),"N/A",IF((IF(L6="N/A — hidden",0,K6+J6)+IF(M6="N/A — hidden",0,I6))=0,"N/A",ROUND((IF(L6="N/A — hidden",0,L6*(K6+J6))+IF(M6="N/A — hidden",0,M6*I6))/(IF(L6="N/A — hidden",0,K6+J6)+IF(M6="N/A — hidden",0,I6))/E6*100,3))),"N/A")</f>
        <v>0.019</v>
      </c>
      <c r="O6" s="10" t="s">
        <v>24</v>
      </c>
      <c r="P6" s="10" t="s">
        <v>29</v>
      </c>
      <c r="Q6" s="10" t="s">
        <v>30</v>
      </c>
    </row>
    <row r="7" customFormat="false" ht="21.75" hidden="false" customHeight="true" outlineLevel="0" collapsed="false">
      <c r="A7" s="5" t="s">
        <v>31</v>
      </c>
      <c r="B7" s="6" t="s">
        <v>21</v>
      </c>
      <c r="C7" s="6" t="s">
        <v>32</v>
      </c>
      <c r="D7" s="7" t="s">
        <v>33</v>
      </c>
      <c r="E7" s="8" t="n">
        <v>213000</v>
      </c>
      <c r="F7" s="8" t="n">
        <v>480</v>
      </c>
      <c r="G7" s="9" t="n">
        <f aca="false">IFERROR(ROUND(E7/F7,0),"")</f>
        <v>444</v>
      </c>
      <c r="H7" s="8" t="n">
        <v>1240</v>
      </c>
      <c r="I7" s="10" t="n">
        <v>0</v>
      </c>
      <c r="J7" s="10" t="n">
        <v>0</v>
      </c>
      <c r="K7" s="10" t="n">
        <v>12</v>
      </c>
      <c r="L7" s="12" t="s">
        <v>34</v>
      </c>
      <c r="M7" s="8" t="n">
        <v>0</v>
      </c>
      <c r="N7" s="11" t="str">
        <f aca="false">IFERROR(IF(AND(L7="N/A — hidden",M7="N/A — hidden"),"N/A",IF((IF(L7="N/A — hidden",0,K7+J7)+IF(M7="N/A — hidden",0,I7))=0,"N/A",ROUND((IF(L7="N/A — hidden",0,L7*(K7+J7))+IF(M7="N/A — hidden",0,M7*I7))/(IF(L7="N/A — hidden",0,K7+J7)+IF(M7="N/A — hidden",0,I7))/E7*100,3))),"N/A")</f>
        <v>N/A</v>
      </c>
      <c r="O7" s="10" t="s">
        <v>35</v>
      </c>
      <c r="P7" s="10" t="s">
        <v>36</v>
      </c>
      <c r="Q7" s="10" t="s">
        <v>37</v>
      </c>
    </row>
    <row r="8" customFormat="false" ht="21.75" hidden="false" customHeight="true" outlineLevel="0" collapsed="false">
      <c r="A8" s="5" t="s">
        <v>38</v>
      </c>
      <c r="B8" s="6" t="s">
        <v>21</v>
      </c>
      <c r="C8" s="6" t="s">
        <v>32</v>
      </c>
      <c r="D8" s="7" t="s">
        <v>39</v>
      </c>
      <c r="E8" s="8" t="n">
        <v>152000</v>
      </c>
      <c r="F8" s="8" t="n">
        <v>3667</v>
      </c>
      <c r="G8" s="9" t="n">
        <f aca="false">IFERROR(ROUND(E8/F8,0),"")</f>
        <v>41</v>
      </c>
      <c r="H8" s="8" t="n">
        <v>2972</v>
      </c>
      <c r="I8" s="10" t="n">
        <v>0</v>
      </c>
      <c r="J8" s="10" t="n">
        <v>1</v>
      </c>
      <c r="K8" s="10" t="n">
        <v>11</v>
      </c>
      <c r="L8" s="13" t="n">
        <v>299</v>
      </c>
      <c r="M8" s="14" t="n">
        <v>0</v>
      </c>
      <c r="N8" s="11" t="n">
        <f aca="false">IFERROR(IF(AND(L8="N/A — hidden",M8="N/A — hidden"),"N/A",IF((IF(L8="N/A — hidden",0,K8+J8)+IF(M8="N/A — hidden",0,I8))=0,"N/A",ROUND((IF(L8="N/A — hidden",0,L8*(K8+J8))+IF(M8="N/A — hidden",0,M8*I8))/(IF(L8="N/A — hidden",0,K8+J8)+IF(M8="N/A — hidden",0,I8))/E8*100,3))),"N/A")</f>
        <v>0.197</v>
      </c>
      <c r="O8" s="10" t="s">
        <v>24</v>
      </c>
      <c r="P8" s="10" t="s">
        <v>40</v>
      </c>
      <c r="Q8" s="10" t="s">
        <v>41</v>
      </c>
    </row>
    <row r="9" customFormat="false" ht="21.75" hidden="false" customHeight="true" outlineLevel="0" collapsed="false">
      <c r="A9" s="5" t="s">
        <v>42</v>
      </c>
      <c r="B9" s="6" t="s">
        <v>43</v>
      </c>
      <c r="C9" s="6" t="s">
        <v>32</v>
      </c>
      <c r="D9" s="7" t="s">
        <v>44</v>
      </c>
      <c r="E9" s="8" t="n">
        <v>2700000</v>
      </c>
      <c r="F9" s="8" t="n">
        <v>1955</v>
      </c>
      <c r="G9" s="9" t="n">
        <f aca="false">IFERROR(ROUND(E9/F9,0),"")</f>
        <v>1381</v>
      </c>
      <c r="H9" s="8" t="n">
        <v>28700</v>
      </c>
      <c r="I9" s="10" t="n">
        <v>5</v>
      </c>
      <c r="J9" s="10" t="n">
        <v>0</v>
      </c>
      <c r="K9" s="10" t="n">
        <v>7</v>
      </c>
      <c r="L9" s="8" t="n">
        <v>1176</v>
      </c>
      <c r="M9" s="8" t="n">
        <v>2359</v>
      </c>
      <c r="N9" s="11" t="n">
        <f aca="false">IFERROR(IF(AND(L9="N/A — hidden",M9="N/A — hidden"),"N/A",IF((IF(L9="N/A — hidden",0,K9+J9)+IF(M9="N/A — hidden",0,I9))=0,"N/A",ROUND((IF(L9="N/A — hidden",0,L9*(K9+J9))+IF(M9="N/A — hidden",0,M9*I9))/(IF(L9="N/A — hidden",0,K9+J9)+IF(M9="N/A — hidden",0,I9))/E9*100,3))),"N/A")</f>
        <v>0.062</v>
      </c>
      <c r="O9" s="10" t="s">
        <v>24</v>
      </c>
      <c r="P9" s="10" t="s">
        <v>40</v>
      </c>
      <c r="Q9" s="10" t="s">
        <v>45</v>
      </c>
    </row>
    <row r="10" customFormat="false" ht="21.75" hidden="false" customHeight="true" outlineLevel="0" collapsed="false">
      <c r="A10" s="5" t="s">
        <v>46</v>
      </c>
      <c r="B10" s="6" t="s">
        <v>47</v>
      </c>
      <c r="C10" s="6" t="s">
        <v>32</v>
      </c>
      <c r="D10" s="7" t="s">
        <v>48</v>
      </c>
      <c r="E10" s="8" t="n">
        <v>258000</v>
      </c>
      <c r="F10" s="8" t="n">
        <v>1346</v>
      </c>
      <c r="G10" s="9" t="n">
        <f aca="false">IFERROR(ROUND(E10/F10,0),"")</f>
        <v>192</v>
      </c>
      <c r="H10" s="8" t="n">
        <v>5506</v>
      </c>
      <c r="I10" s="10" t="n">
        <v>3</v>
      </c>
      <c r="J10" s="10" t="n">
        <v>1</v>
      </c>
      <c r="K10" s="10" t="n">
        <v>8</v>
      </c>
      <c r="L10" s="8" t="n">
        <v>2225</v>
      </c>
      <c r="M10" s="8" t="n">
        <v>5267</v>
      </c>
      <c r="N10" s="11" t="n">
        <f aca="false">IFERROR(IF(AND(L10="N/A — hidden",M10="N/A — hidden"),"N/A",IF((IF(L10="N/A — hidden",0,K10+J10)+IF(M10="N/A — hidden",0,I10))=0,"N/A",ROUND((IF(L10="N/A — hidden",0,L10*(K10+J10))+IF(M10="N/A — hidden",0,M10*I10))/(IF(L10="N/A — hidden",0,K10+J10)+IF(M10="N/A — hidden",0,I10))/E10*100,3))),"N/A")</f>
        <v>1.157</v>
      </c>
      <c r="O10" s="10" t="s">
        <v>24</v>
      </c>
      <c r="P10" s="10" t="s">
        <v>29</v>
      </c>
      <c r="Q10" s="10" t="s">
        <v>49</v>
      </c>
    </row>
    <row r="11" customFormat="false" ht="21.75" hidden="false" customHeight="true" outlineLevel="0" collapsed="false">
      <c r="A11" s="5" t="s">
        <v>50</v>
      </c>
      <c r="B11" s="6" t="s">
        <v>47</v>
      </c>
      <c r="C11" s="6" t="s">
        <v>32</v>
      </c>
      <c r="D11" s="7" t="s">
        <v>51</v>
      </c>
      <c r="E11" s="8" t="n">
        <v>777000</v>
      </c>
      <c r="F11" s="8" t="n">
        <v>944</v>
      </c>
      <c r="G11" s="9" t="n">
        <f aca="false">IFERROR(ROUND(E11/F11,0),"")</f>
        <v>823</v>
      </c>
      <c r="H11" s="8" t="n">
        <v>6941</v>
      </c>
      <c r="I11" s="10" t="n">
        <v>5</v>
      </c>
      <c r="J11" s="10" t="n">
        <v>0</v>
      </c>
      <c r="K11" s="10" t="n">
        <v>7</v>
      </c>
      <c r="L11" s="8" t="n">
        <v>383</v>
      </c>
      <c r="M11" s="8" t="n">
        <v>515</v>
      </c>
      <c r="N11" s="11" t="n">
        <f aca="false">IFERROR(IF(AND(L11="N/A — hidden",M11="N/A — hidden"),"N/A",IF((IF(L11="N/A — hidden",0,K11+J11)+IF(M11="N/A — hidden",0,I11))=0,"N/A",ROUND((IF(L11="N/A — hidden",0,L11*(K11+J11))+IF(M11="N/A — hidden",0,M11*I11))/(IF(L11="N/A — hidden",0,K11+J11)+IF(M11="N/A — hidden",0,I11))/E11*100,3))),"N/A")</f>
        <v>0.056</v>
      </c>
      <c r="O11" s="10" t="s">
        <v>35</v>
      </c>
      <c r="P11" s="10" t="s">
        <v>52</v>
      </c>
      <c r="Q11" s="10" t="s">
        <v>53</v>
      </c>
    </row>
    <row r="12" customFormat="false" ht="21.75" hidden="false" customHeight="true" outlineLevel="0" collapsed="false">
      <c r="A12" s="5" t="s">
        <v>54</v>
      </c>
      <c r="B12" s="6" t="s">
        <v>47</v>
      </c>
      <c r="C12" s="6" t="s">
        <v>32</v>
      </c>
      <c r="D12" s="7" t="s">
        <v>55</v>
      </c>
      <c r="E12" s="8" t="n">
        <v>156000</v>
      </c>
      <c r="F12" s="8" t="n">
        <v>1003</v>
      </c>
      <c r="G12" s="9" t="n">
        <f aca="false">IFERROR(ROUND(E12/F12,0),"")</f>
        <v>156</v>
      </c>
      <c r="H12" s="8" t="n">
        <v>3387</v>
      </c>
      <c r="I12" s="10" t="n">
        <v>3</v>
      </c>
      <c r="J12" s="10" t="n">
        <v>0</v>
      </c>
      <c r="K12" s="10" t="n">
        <v>9</v>
      </c>
      <c r="L12" s="12" t="s">
        <v>34</v>
      </c>
      <c r="M12" s="12" t="s">
        <v>34</v>
      </c>
      <c r="N12" s="11" t="str">
        <f aca="false">IFERROR(IF(AND(L12="N/A — hidden",M12="N/A — hidden"),"N/A",IF((IF(L12="N/A — hidden",0,K12+J12)+IF(M12="N/A — hidden",0,I12))=0,"N/A",ROUND((IF(L12="N/A — hidden",0,L12*(K12+J12))+IF(M12="N/A — hidden",0,M12*I12))/(IF(L12="N/A — hidden",0,K12+J12)+IF(M12="N/A — hidden",0,I12))/E12*100,3))),"N/A")</f>
        <v>N/A</v>
      </c>
      <c r="O12" s="10" t="s">
        <v>35</v>
      </c>
      <c r="P12" s="10" t="s">
        <v>29</v>
      </c>
      <c r="Q12" s="10" t="s">
        <v>56</v>
      </c>
    </row>
    <row r="13" customFormat="false" ht="21.75" hidden="false" customHeight="true" outlineLevel="0" collapsed="false">
      <c r="A13" s="5" t="s">
        <v>57</v>
      </c>
      <c r="B13" s="6" t="s">
        <v>21</v>
      </c>
      <c r="C13" s="6" t="s">
        <v>32</v>
      </c>
      <c r="D13" s="7" t="s">
        <v>58</v>
      </c>
      <c r="E13" s="8" t="n">
        <v>63800</v>
      </c>
      <c r="F13" s="8" t="n">
        <v>1045</v>
      </c>
      <c r="G13" s="9" t="n">
        <f aca="false">IFERROR(ROUND(E13/F13,0),"")</f>
        <v>61</v>
      </c>
      <c r="H13" s="8" t="n">
        <v>2029</v>
      </c>
      <c r="I13" s="10" t="n">
        <v>5</v>
      </c>
      <c r="J13" s="10" t="n">
        <v>2</v>
      </c>
      <c r="K13" s="10" t="n">
        <v>5</v>
      </c>
      <c r="L13" s="8" t="n">
        <v>82</v>
      </c>
      <c r="M13" s="8" t="n">
        <v>164</v>
      </c>
      <c r="N13" s="11" t="n">
        <f aca="false">IFERROR(IF(AND(L13="N/A — hidden",M13="N/A — hidden"),"N/A",IF((IF(L13="N/A — hidden",0,K13+J13)+IF(M13="N/A — hidden",0,I13))=0,"N/A",ROUND((IF(L13="N/A — hidden",0,L13*(K13+J13))+IF(M13="N/A — hidden",0,M13*I13))/(IF(L13="N/A — hidden",0,K13+J13)+IF(M13="N/A — hidden",0,I13))/E13*100,3))),"N/A")</f>
        <v>0.182</v>
      </c>
      <c r="O13" s="10" t="s">
        <v>24</v>
      </c>
      <c r="P13" s="10" t="s">
        <v>29</v>
      </c>
      <c r="Q13" s="10" t="s">
        <v>59</v>
      </c>
    </row>
    <row r="14" customFormat="false" ht="21.75" hidden="false" customHeight="true" outlineLevel="0" collapsed="false">
      <c r="A14" s="5" t="s">
        <v>60</v>
      </c>
      <c r="B14" s="6" t="s">
        <v>47</v>
      </c>
      <c r="C14" s="6" t="s">
        <v>32</v>
      </c>
      <c r="D14" s="7" t="s">
        <v>61</v>
      </c>
      <c r="E14" s="8" t="n">
        <v>139000</v>
      </c>
      <c r="F14" s="8" t="n">
        <v>1314</v>
      </c>
      <c r="G14" s="9" t="n">
        <f aca="false">IFERROR(ROUND(E14/F14,0),"")</f>
        <v>106</v>
      </c>
      <c r="H14" s="8" t="n">
        <v>7309</v>
      </c>
      <c r="I14" s="10" t="n">
        <v>5</v>
      </c>
      <c r="J14" s="10" t="n">
        <v>0</v>
      </c>
      <c r="K14" s="10" t="n">
        <v>7</v>
      </c>
      <c r="L14" s="12" t="s">
        <v>34</v>
      </c>
      <c r="M14" s="12" t="s">
        <v>34</v>
      </c>
      <c r="N14" s="11" t="str">
        <f aca="false">IFERROR(IF(AND(L14="N/A — hidden",M14="N/A — hidden"),"N/A",IF((IF(L14="N/A — hidden",0,K14+J14)+IF(M14="N/A — hidden",0,I14))=0,"N/A",ROUND((IF(L14="N/A — hidden",0,L14*(K14+J14))+IF(M14="N/A — hidden",0,M14*I14))/(IF(L14="N/A — hidden",0,K14+J14)+IF(M14="N/A — hidden",0,I14))/E14*100,3))),"N/A")</f>
        <v>N/A</v>
      </c>
      <c r="O14" s="10" t="s">
        <v>35</v>
      </c>
      <c r="P14" s="10" t="s">
        <v>29</v>
      </c>
      <c r="Q14" s="10" t="s">
        <v>62</v>
      </c>
    </row>
    <row r="15" customFormat="false" ht="21.75" hidden="false" customHeight="true" outlineLevel="0" collapsed="false">
      <c r="A15" s="5" t="s">
        <v>63</v>
      </c>
      <c r="B15" s="6" t="s">
        <v>64</v>
      </c>
      <c r="C15" s="6" t="s">
        <v>32</v>
      </c>
      <c r="D15" s="7" t="s">
        <v>65</v>
      </c>
      <c r="E15" s="10" t="n">
        <v>676000</v>
      </c>
      <c r="F15" s="10" t="n">
        <v>55</v>
      </c>
      <c r="G15" s="15" t="n">
        <f aca="false">IFERROR(ROUND(E15/F15,0),"")</f>
        <v>12291</v>
      </c>
      <c r="H15" s="10" t="n">
        <v>219</v>
      </c>
      <c r="I15" s="10" t="n">
        <v>0</v>
      </c>
      <c r="J15" s="10" t="n">
        <v>0</v>
      </c>
      <c r="K15" s="10" t="n">
        <v>12</v>
      </c>
      <c r="L15" s="10" t="n">
        <v>15992</v>
      </c>
      <c r="M15" s="10" t="n">
        <v>0</v>
      </c>
      <c r="N15" s="11" t="n">
        <f aca="false">IFERROR(IF(AND(L15="N/A — hidden",M15="N/A — hidden"),"N/A",IF((IF(L15="N/A — hidden",0,K15+J15)+IF(M15="N/A — hidden",0,I15))=0,"N/A",ROUND((IF(L15="N/A — hidden",0,L15*(K15+J15))+IF(M15="N/A — hidden",0,M15*I15))/(IF(L15="N/A — hidden",0,K15+J15)+IF(M15="N/A — hidden",0,I15))/E15*100,3))),"N/A")</f>
        <v>2.366</v>
      </c>
      <c r="O15" s="10" t="s">
        <v>35</v>
      </c>
      <c r="P15" s="10" t="s">
        <v>40</v>
      </c>
      <c r="Q15" s="10" t="s">
        <v>66</v>
      </c>
    </row>
    <row r="16" customFormat="false" ht="21.75" hidden="false" customHeight="true" outlineLevel="0" collapsed="false">
      <c r="A16" s="16" t="s">
        <v>67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customFormat="false" ht="49.5" hidden="false" customHeight="true" outlineLevel="0" collapsed="false">
      <c r="A17" s="16" t="s">
        <v>67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customFormat="false" ht="49.5" hidden="false" customHeight="true" outlineLevel="0" collapsed="false">
      <c r="A18" s="5" t="s">
        <v>20</v>
      </c>
      <c r="B18" s="18" t="s">
        <v>68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customFormat="false" ht="49.5" hidden="false" customHeight="true" outlineLevel="0" collapsed="false">
      <c r="A19" s="5" t="s">
        <v>27</v>
      </c>
      <c r="B19" s="18" t="s">
        <v>69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customFormat="false" ht="49.5" hidden="false" customHeight="true" outlineLevel="0" collapsed="false">
      <c r="A20" s="5" t="s">
        <v>31</v>
      </c>
      <c r="B20" s="18" t="s">
        <v>70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customFormat="false" ht="49.5" hidden="false" customHeight="true" outlineLevel="0" collapsed="false">
      <c r="A21" s="5" t="s">
        <v>38</v>
      </c>
      <c r="B21" s="18" t="s">
        <v>71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customFormat="false" ht="49.5" hidden="false" customHeight="true" outlineLevel="0" collapsed="false">
      <c r="A22" s="5" t="s">
        <v>42</v>
      </c>
      <c r="B22" s="18" t="s">
        <v>72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customFormat="false" ht="49.5" hidden="false" customHeight="true" outlineLevel="0" collapsed="false">
      <c r="A23" s="5" t="s">
        <v>46</v>
      </c>
      <c r="B23" s="18" t="s">
        <v>73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customFormat="false" ht="49.5" hidden="false" customHeight="true" outlineLevel="0" collapsed="false">
      <c r="A24" s="5" t="s">
        <v>50</v>
      </c>
      <c r="B24" s="18" t="s">
        <v>74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customFormat="false" ht="49.5" hidden="false" customHeight="true" outlineLevel="0" collapsed="false">
      <c r="A25" s="5" t="s">
        <v>54</v>
      </c>
      <c r="B25" s="18" t="s">
        <v>75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customFormat="false" ht="49.5" hidden="false" customHeight="true" outlineLevel="0" collapsed="false">
      <c r="A26" s="5" t="s">
        <v>57</v>
      </c>
      <c r="B26" s="18" t="s">
        <v>76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customFormat="false" ht="223.5" hidden="false" customHeight="true" outlineLevel="0" collapsed="false">
      <c r="A27" s="5" t="s">
        <v>60</v>
      </c>
      <c r="B27" s="18" t="s">
        <v>77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customFormat="false" ht="54.75" hidden="false" customHeight="true" outlineLevel="0" collapsed="false">
      <c r="A28" s="5" t="s">
        <v>63</v>
      </c>
      <c r="B28" s="18" t="s">
        <v>78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</sheetData>
  <mergeCells count="15">
    <mergeCell ref="A1:Q1"/>
    <mergeCell ref="A2:Q2"/>
    <mergeCell ref="A3:Q3"/>
    <mergeCell ref="A16:Q16"/>
    <mergeCell ref="B17:Q17"/>
    <mergeCell ref="B18:Q18"/>
    <mergeCell ref="B19:Q19"/>
    <mergeCell ref="B20:Q20"/>
    <mergeCell ref="B21:Q21"/>
    <mergeCell ref="B22:Q22"/>
    <mergeCell ref="B23:Q23"/>
    <mergeCell ref="B24:Q24"/>
    <mergeCell ref="B25:Q25"/>
    <mergeCell ref="B26:Q26"/>
    <mergeCell ref="B28:Q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11" min="7" style="0" width="14"/>
  </cols>
  <sheetData>
    <row r="1" customFormat="false" ht="30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19" t="s">
        <v>80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39.75" hidden="false" customHeight="true" outlineLevel="0" collapsed="false">
      <c r="A3" s="4" t="s">
        <v>3</v>
      </c>
      <c r="B3" s="4" t="s">
        <v>4</v>
      </c>
      <c r="C3" s="4" t="s">
        <v>81</v>
      </c>
      <c r="D3" s="4" t="s">
        <v>7</v>
      </c>
      <c r="E3" s="4" t="s">
        <v>8</v>
      </c>
      <c r="F3" s="4" t="s">
        <v>82</v>
      </c>
      <c r="G3" s="4" t="s">
        <v>83</v>
      </c>
      <c r="H3" s="4" t="s">
        <v>84</v>
      </c>
      <c r="I3" s="4" t="s">
        <v>85</v>
      </c>
      <c r="J3" s="4" t="s">
        <v>86</v>
      </c>
      <c r="K3" s="4" t="s">
        <v>87</v>
      </c>
    </row>
    <row r="4" customFormat="false" ht="21.75" hidden="false" customHeight="true" outlineLevel="0" collapsed="false">
      <c r="A4" s="5" t="s">
        <v>20</v>
      </c>
      <c r="B4" s="6" t="s">
        <v>21</v>
      </c>
      <c r="C4" s="7" t="s">
        <v>88</v>
      </c>
      <c r="D4" s="10" t="n">
        <v>144300</v>
      </c>
      <c r="E4" s="10" t="n">
        <v>79</v>
      </c>
      <c r="F4" s="10" t="n">
        <v>1161</v>
      </c>
      <c r="G4" s="10" t="n">
        <v>1400000</v>
      </c>
      <c r="H4" s="10" t="n">
        <v>1143</v>
      </c>
      <c r="I4" s="10" t="n">
        <v>2731</v>
      </c>
      <c r="J4" s="10" t="n">
        <v>5039</v>
      </c>
      <c r="K4" s="20" t="n">
        <f aca="false">IFERROR(AVERAGE(H4:J4),"")</f>
        <v>2971</v>
      </c>
    </row>
    <row r="5" customFormat="false" ht="21.75" hidden="false" customHeight="true" outlineLevel="0" collapsed="false">
      <c r="A5" s="5" t="s">
        <v>27</v>
      </c>
      <c r="B5" s="6" t="s">
        <v>21</v>
      </c>
      <c r="C5" s="7" t="s">
        <v>28</v>
      </c>
      <c r="D5" s="10" t="n">
        <v>233900</v>
      </c>
      <c r="E5" s="10" t="n">
        <v>81</v>
      </c>
      <c r="F5" s="10" t="n">
        <v>1032</v>
      </c>
      <c r="G5" s="10" t="n">
        <v>2500000</v>
      </c>
      <c r="H5" s="10" t="n">
        <v>569</v>
      </c>
      <c r="I5" s="10" t="n">
        <v>1652</v>
      </c>
      <c r="J5" s="10" t="n">
        <v>1025</v>
      </c>
      <c r="K5" s="20" t="n">
        <f aca="false">IFERROR(AVERAGE(H5:J5),"")</f>
        <v>1082</v>
      </c>
    </row>
    <row r="6" customFormat="false" ht="21.75" hidden="false" customHeight="true" outlineLevel="0" collapsed="false">
      <c r="A6" s="5" t="s">
        <v>31</v>
      </c>
      <c r="B6" s="6" t="s">
        <v>21</v>
      </c>
      <c r="C6" s="7" t="s">
        <v>89</v>
      </c>
      <c r="D6" s="10" t="n">
        <v>8916</v>
      </c>
      <c r="E6" s="10" t="n">
        <v>22</v>
      </c>
      <c r="F6" s="10" t="n">
        <v>338</v>
      </c>
      <c r="G6" s="10" t="n">
        <v>48000</v>
      </c>
      <c r="H6" s="10" t="n">
        <v>848</v>
      </c>
      <c r="I6" s="10" t="n">
        <v>874</v>
      </c>
      <c r="J6" s="10" t="n">
        <v>533</v>
      </c>
      <c r="K6" s="20" t="n">
        <f aca="false">IFERROR(AVERAGE(H6:J6),"")</f>
        <v>751.666666666667</v>
      </c>
    </row>
    <row r="7" customFormat="false" ht="21.75" hidden="false" customHeight="true" outlineLevel="0" collapsed="false">
      <c r="A7" s="5" t="s">
        <v>38</v>
      </c>
      <c r="B7" s="6" t="s">
        <v>21</v>
      </c>
      <c r="C7" s="7" t="s">
        <v>39</v>
      </c>
      <c r="D7" s="10" t="n">
        <v>1022</v>
      </c>
      <c r="E7" s="10" t="n">
        <v>88</v>
      </c>
      <c r="F7" s="10" t="n">
        <v>44</v>
      </c>
      <c r="G7" s="10" t="n">
        <v>2408</v>
      </c>
      <c r="H7" s="10" t="n">
        <v>265</v>
      </c>
      <c r="I7" s="10" t="n">
        <v>279</v>
      </c>
      <c r="J7" s="10" t="n">
        <v>265</v>
      </c>
      <c r="K7" s="20" t="n">
        <f aca="false">IFERROR(AVERAGE(H7:J7),"")</f>
        <v>269.666666666667</v>
      </c>
    </row>
    <row r="8" customFormat="false" ht="21.75" hidden="false" customHeight="true" outlineLevel="0" collapsed="false">
      <c r="A8" s="5" t="s">
        <v>42</v>
      </c>
      <c r="B8" s="6" t="s">
        <v>43</v>
      </c>
      <c r="C8" s="7" t="s">
        <v>90</v>
      </c>
      <c r="D8" s="10" t="n">
        <v>1500000</v>
      </c>
      <c r="E8" s="10" t="n">
        <v>713</v>
      </c>
      <c r="F8" s="10" t="n">
        <v>7541</v>
      </c>
      <c r="G8" s="10" t="n">
        <v>21400000</v>
      </c>
      <c r="H8" s="10" t="n">
        <v>1108</v>
      </c>
      <c r="I8" s="10" t="n">
        <v>3535</v>
      </c>
      <c r="J8" s="10" t="n">
        <v>2358</v>
      </c>
      <c r="K8" s="20" t="n">
        <f aca="false">IFERROR(AVERAGE(H8:J8),"")</f>
        <v>2333.66666666667</v>
      </c>
    </row>
    <row r="9" customFormat="false" ht="21.75" hidden="false" customHeight="true" outlineLevel="0" collapsed="false">
      <c r="A9" s="5" t="s">
        <v>46</v>
      </c>
      <c r="B9" s="6" t="s">
        <v>47</v>
      </c>
      <c r="C9" s="7" t="s">
        <v>48</v>
      </c>
      <c r="D9" s="10" t="n">
        <v>187300</v>
      </c>
      <c r="E9" s="10" t="n">
        <v>0</v>
      </c>
      <c r="F9" s="10" t="n">
        <v>791</v>
      </c>
      <c r="G9" s="10" t="n">
        <v>1400000</v>
      </c>
      <c r="H9" s="10" t="n">
        <v>6517</v>
      </c>
      <c r="I9" s="10" t="n">
        <v>15500</v>
      </c>
      <c r="J9" s="10" t="n">
        <v>15100</v>
      </c>
      <c r="K9" s="20" t="n">
        <f aca="false">IFERROR(AVERAGE(H9:J9),"")</f>
        <v>12372.3333333333</v>
      </c>
    </row>
    <row r="10" customFormat="false" ht="21.75" hidden="false" customHeight="true" outlineLevel="0" collapsed="false">
      <c r="A10" s="5" t="s">
        <v>50</v>
      </c>
      <c r="B10" s="6" t="s">
        <v>47</v>
      </c>
      <c r="C10" s="7" t="s">
        <v>51</v>
      </c>
      <c r="D10" s="10" t="n">
        <v>71700</v>
      </c>
      <c r="E10" s="10" t="n">
        <v>220</v>
      </c>
      <c r="F10" s="10" t="n">
        <v>1081</v>
      </c>
      <c r="G10" s="10" t="n">
        <v>503100</v>
      </c>
      <c r="H10" s="10" t="n">
        <v>386</v>
      </c>
      <c r="I10" s="10" t="n">
        <v>528</v>
      </c>
      <c r="J10" s="10" t="n">
        <v>882</v>
      </c>
      <c r="K10" s="20" t="n">
        <f aca="false">IFERROR(AVERAGE(H10:J10),"")</f>
        <v>598.666666666667</v>
      </c>
    </row>
    <row r="11" customFormat="false" ht="21.75" hidden="false" customHeight="true" outlineLevel="0" collapsed="false">
      <c r="A11" s="5" t="s">
        <v>54</v>
      </c>
      <c r="B11" s="6" t="s">
        <v>47</v>
      </c>
      <c r="C11" s="7" t="s">
        <v>91</v>
      </c>
      <c r="D11" s="10" t="n">
        <v>15200</v>
      </c>
      <c r="E11" s="10" t="n">
        <v>165</v>
      </c>
      <c r="F11" s="10" t="n">
        <v>245</v>
      </c>
      <c r="G11" s="10" t="n">
        <v>99100</v>
      </c>
      <c r="H11" s="10" t="n">
        <v>402</v>
      </c>
      <c r="I11" s="10" t="n">
        <v>582</v>
      </c>
      <c r="J11" s="10" t="n">
        <v>531</v>
      </c>
      <c r="K11" s="20" t="n">
        <f aca="false">IFERROR(AVERAGE(H11:J11),"")</f>
        <v>505</v>
      </c>
    </row>
    <row r="12" customFormat="false" ht="21.75" hidden="false" customHeight="true" outlineLevel="0" collapsed="false">
      <c r="A12" s="5" t="s">
        <v>57</v>
      </c>
      <c r="B12" s="6" t="s">
        <v>21</v>
      </c>
      <c r="C12" s="7" t="s">
        <v>58</v>
      </c>
      <c r="D12" s="10" t="n">
        <v>70100</v>
      </c>
      <c r="E12" s="10" t="n">
        <v>1038</v>
      </c>
      <c r="F12" s="10" t="n">
        <v>855</v>
      </c>
      <c r="G12" s="10" t="n">
        <v>698700</v>
      </c>
      <c r="H12" s="10" t="n">
        <v>3463</v>
      </c>
      <c r="I12" s="10" t="n">
        <v>85000</v>
      </c>
      <c r="J12" s="10" t="n">
        <v>3434</v>
      </c>
      <c r="K12" s="20" t="n">
        <f aca="false">IFERROR(AVERAGE(H12:J12),"")</f>
        <v>30632.3333333333</v>
      </c>
    </row>
    <row r="13" customFormat="false" ht="21.75" hidden="false" customHeight="true" outlineLevel="0" collapsed="false">
      <c r="A13" s="5" t="s">
        <v>60</v>
      </c>
      <c r="B13" s="6" t="s">
        <v>47</v>
      </c>
      <c r="C13" s="7" t="s">
        <v>61</v>
      </c>
      <c r="D13" s="10" t="n">
        <v>4541</v>
      </c>
      <c r="E13" s="10" t="n">
        <v>283</v>
      </c>
      <c r="F13" s="10" t="n">
        <v>112</v>
      </c>
      <c r="G13" s="10" t="n">
        <v>206900</v>
      </c>
      <c r="H13" s="10" t="n">
        <v>325</v>
      </c>
      <c r="I13" s="10" t="n">
        <v>539</v>
      </c>
      <c r="J13" s="10" t="n">
        <v>593</v>
      </c>
      <c r="K13" s="20" t="n">
        <f aca="false">IFERROR(AVERAGE(H13:J13),"")</f>
        <v>485.666666666667</v>
      </c>
    </row>
    <row r="14" customFormat="false" ht="21.75" hidden="false" customHeight="true" outlineLevel="0" collapsed="false">
      <c r="A14" s="5" t="s">
        <v>63</v>
      </c>
      <c r="B14" s="6" t="s">
        <v>64</v>
      </c>
      <c r="C14" s="7" t="s">
        <v>65</v>
      </c>
      <c r="D14" s="8" t="n">
        <v>967400</v>
      </c>
      <c r="E14" s="8" t="n">
        <v>4191</v>
      </c>
      <c r="F14" s="10" t="n">
        <v>282</v>
      </c>
      <c r="G14" s="8" t="n">
        <v>16400000</v>
      </c>
      <c r="H14" s="10" t="n">
        <v>24400</v>
      </c>
      <c r="I14" s="10" t="n">
        <v>30300</v>
      </c>
      <c r="J14" s="10" t="n">
        <v>45600</v>
      </c>
      <c r="K14" s="20" t="n">
        <f aca="false">IFERROR(AVERAGE(H14:J14),"")</f>
        <v>33433.3333333333</v>
      </c>
    </row>
    <row r="15" customFormat="false" ht="34.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customFormat="false" ht="21.75" hidden="false" customHeight="true" outlineLevel="0" collapsed="false">
      <c r="A16" s="16" t="s">
        <v>19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customFormat="false" ht="34.5" hidden="false" customHeight="true" outlineLevel="0" collapsed="false">
      <c r="A17" s="5" t="s">
        <v>20</v>
      </c>
      <c r="B17" s="22" t="s">
        <v>92</v>
      </c>
      <c r="C17" s="22"/>
      <c r="D17" s="22"/>
      <c r="E17" s="22"/>
      <c r="F17" s="22"/>
      <c r="G17" s="22"/>
      <c r="H17" s="22"/>
      <c r="I17" s="22"/>
      <c r="J17" s="22"/>
      <c r="K17" s="22"/>
    </row>
    <row r="18" customFormat="false" ht="34.5" hidden="false" customHeight="true" outlineLevel="0" collapsed="false">
      <c r="A18" s="5" t="s">
        <v>27</v>
      </c>
      <c r="B18" s="22" t="s">
        <v>93</v>
      </c>
      <c r="C18" s="22"/>
      <c r="D18" s="22"/>
      <c r="E18" s="22"/>
      <c r="F18" s="22"/>
      <c r="G18" s="22"/>
      <c r="H18" s="22"/>
      <c r="I18" s="22"/>
      <c r="J18" s="22"/>
      <c r="K18" s="22"/>
    </row>
    <row r="19" customFormat="false" ht="34.5" hidden="false" customHeight="true" outlineLevel="0" collapsed="false">
      <c r="A19" s="5" t="s">
        <v>31</v>
      </c>
      <c r="B19" s="22" t="s">
        <v>94</v>
      </c>
      <c r="C19" s="22"/>
      <c r="D19" s="22"/>
      <c r="E19" s="22"/>
      <c r="F19" s="22"/>
      <c r="G19" s="22"/>
      <c r="H19" s="22"/>
      <c r="I19" s="22"/>
      <c r="J19" s="22"/>
      <c r="K19" s="22"/>
    </row>
    <row r="20" customFormat="false" ht="34.5" hidden="false" customHeight="true" outlineLevel="0" collapsed="false">
      <c r="A20" s="5" t="s">
        <v>38</v>
      </c>
      <c r="B20" s="22" t="s">
        <v>95</v>
      </c>
      <c r="C20" s="22"/>
      <c r="D20" s="22"/>
      <c r="E20" s="22"/>
      <c r="F20" s="22"/>
      <c r="G20" s="22"/>
      <c r="H20" s="22"/>
      <c r="I20" s="22"/>
      <c r="J20" s="22"/>
      <c r="K20" s="22"/>
    </row>
    <row r="21" customFormat="false" ht="34.5" hidden="false" customHeight="true" outlineLevel="0" collapsed="false">
      <c r="A21" s="5" t="s">
        <v>42</v>
      </c>
      <c r="B21" s="22" t="s">
        <v>96</v>
      </c>
      <c r="C21" s="22"/>
      <c r="D21" s="22"/>
      <c r="E21" s="22"/>
      <c r="F21" s="22"/>
      <c r="G21" s="22"/>
      <c r="H21" s="22"/>
      <c r="I21" s="22"/>
      <c r="J21" s="22"/>
      <c r="K21" s="22"/>
    </row>
    <row r="22" customFormat="false" ht="34.5" hidden="false" customHeight="true" outlineLevel="0" collapsed="false">
      <c r="A22" s="5" t="s">
        <v>46</v>
      </c>
      <c r="B22" s="22" t="s">
        <v>97</v>
      </c>
      <c r="C22" s="22"/>
      <c r="D22" s="22"/>
      <c r="E22" s="22"/>
      <c r="F22" s="22"/>
      <c r="G22" s="22"/>
      <c r="H22" s="22"/>
      <c r="I22" s="22"/>
      <c r="J22" s="22"/>
      <c r="K22" s="22"/>
    </row>
    <row r="23" customFormat="false" ht="34.5" hidden="false" customHeight="true" outlineLevel="0" collapsed="false">
      <c r="A23" s="5" t="s">
        <v>50</v>
      </c>
      <c r="B23" s="22" t="s">
        <v>93</v>
      </c>
      <c r="C23" s="22"/>
      <c r="D23" s="22"/>
      <c r="E23" s="22"/>
      <c r="F23" s="22"/>
      <c r="G23" s="22"/>
      <c r="H23" s="22"/>
      <c r="I23" s="22"/>
      <c r="J23" s="22"/>
      <c r="K23" s="22"/>
    </row>
    <row r="24" customFormat="false" ht="34.5" hidden="false" customHeight="true" outlineLevel="0" collapsed="false">
      <c r="A24" s="5" t="s">
        <v>54</v>
      </c>
      <c r="B24" s="22" t="s">
        <v>98</v>
      </c>
      <c r="C24" s="22"/>
      <c r="D24" s="22"/>
      <c r="E24" s="22"/>
      <c r="F24" s="22"/>
      <c r="G24" s="22"/>
      <c r="H24" s="22"/>
      <c r="I24" s="22"/>
      <c r="J24" s="22"/>
      <c r="K24" s="22"/>
    </row>
    <row r="25" customFormat="false" ht="34.5" hidden="false" customHeight="true" outlineLevel="0" collapsed="false">
      <c r="A25" s="5" t="s">
        <v>57</v>
      </c>
      <c r="B25" s="22" t="s">
        <v>99</v>
      </c>
      <c r="C25" s="22"/>
      <c r="D25" s="22"/>
      <c r="E25" s="22"/>
      <c r="F25" s="22"/>
      <c r="G25" s="22"/>
      <c r="H25" s="22"/>
      <c r="I25" s="22"/>
      <c r="J25" s="22"/>
      <c r="K25" s="22"/>
    </row>
    <row r="26" customFormat="false" ht="144" hidden="false" customHeight="true" outlineLevel="0" collapsed="false">
      <c r="A26" s="5" t="s">
        <v>60</v>
      </c>
      <c r="B26" s="22" t="s">
        <v>93</v>
      </c>
      <c r="C26" s="17"/>
      <c r="D26" s="17"/>
      <c r="E26" s="17"/>
      <c r="F26" s="17"/>
      <c r="G26" s="17"/>
      <c r="H26" s="17"/>
      <c r="I26" s="17"/>
      <c r="J26" s="17"/>
      <c r="K26" s="17"/>
    </row>
    <row r="27" customFormat="false" ht="45" hidden="false" customHeight="true" outlineLevel="0" collapsed="false">
      <c r="A27" s="5" t="s">
        <v>63</v>
      </c>
      <c r="B27" s="18" t="s">
        <v>100</v>
      </c>
      <c r="C27" s="18"/>
      <c r="D27" s="18"/>
      <c r="E27" s="18"/>
      <c r="F27" s="18"/>
      <c r="G27" s="18"/>
      <c r="H27" s="18"/>
      <c r="I27" s="18"/>
      <c r="J27" s="18"/>
      <c r="K27" s="18"/>
    </row>
  </sheetData>
  <mergeCells count="14">
    <mergeCell ref="A1:K1"/>
    <mergeCell ref="A2:K2"/>
    <mergeCell ref="A15:K15"/>
    <mergeCell ref="A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3" t="s">
        <v>102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customFormat="false" ht="4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103</v>
      </c>
      <c r="E3" s="4" t="s">
        <v>104</v>
      </c>
      <c r="F3" s="4" t="s">
        <v>105</v>
      </c>
      <c r="G3" s="4" t="s">
        <v>106</v>
      </c>
      <c r="H3" s="4" t="s">
        <v>107</v>
      </c>
      <c r="I3" s="4" t="s">
        <v>108</v>
      </c>
      <c r="J3" s="4" t="s">
        <v>109</v>
      </c>
      <c r="K3" s="4" t="s">
        <v>110</v>
      </c>
    </row>
    <row r="4" customFormat="false" ht="21.75" hidden="false" customHeight="true" outlineLevel="0" collapsed="false">
      <c r="A4" s="5" t="s">
        <v>20</v>
      </c>
      <c r="B4" s="6" t="s">
        <v>21</v>
      </c>
      <c r="C4" s="6" t="s">
        <v>22</v>
      </c>
      <c r="D4" s="20" t="n">
        <f aca="false">IFERROR(Instagram!E5,"")</f>
        <v>2400000</v>
      </c>
      <c r="E4" s="24" t="n">
        <f aca="false">IFERROR(Instagram!N5,"")</f>
        <v>0.048</v>
      </c>
      <c r="F4" s="9" t="n">
        <f aca="false">IFERROR(Instagram!G5,"")</f>
        <v>2679</v>
      </c>
      <c r="G4" s="25" t="str">
        <f aca="false">IFERROR(Instagram!I5&amp;"/"&amp;Instagram!J5&amp;"/"&amp;Instagram!K5,"")</f>
        <v>9/0/3</v>
      </c>
      <c r="H4" s="20" t="n">
        <f aca="false">IFERROR(TikTok!D4,"")</f>
        <v>144300</v>
      </c>
      <c r="I4" s="20" t="n">
        <f aca="false">IFERROR(TikTok!K4,"")</f>
        <v>2971</v>
      </c>
      <c r="J4" s="9" t="n">
        <f aca="false">IFERROR(D4+H4,"")</f>
        <v>2544300</v>
      </c>
      <c r="K4" s="10"/>
    </row>
    <row r="5" customFormat="false" ht="21.75" hidden="false" customHeight="true" outlineLevel="0" collapsed="false">
      <c r="A5" s="5" t="s">
        <v>27</v>
      </c>
      <c r="B5" s="6" t="s">
        <v>21</v>
      </c>
      <c r="C5" s="6" t="s">
        <v>22</v>
      </c>
      <c r="D5" s="20" t="n">
        <f aca="false">IFERROR(Instagram!E6,"")</f>
        <v>3400000</v>
      </c>
      <c r="E5" s="24" t="n">
        <f aca="false">IFERROR(Instagram!N6,"")</f>
        <v>0.019</v>
      </c>
      <c r="F5" s="9" t="n">
        <f aca="false">IFERROR(Instagram!G6,"")</f>
        <v>11003</v>
      </c>
      <c r="G5" s="25" t="str">
        <f aca="false">IFERROR(Instagram!I6&amp;"/"&amp;Instagram!J6&amp;"/"&amp;Instagram!K6,"")</f>
        <v>8/0/4</v>
      </c>
      <c r="H5" s="20" t="n">
        <f aca="false">IFERROR(TikTok!D5,"")</f>
        <v>233900</v>
      </c>
      <c r="I5" s="20" t="n">
        <f aca="false">IFERROR(TikTok!K5,"")</f>
        <v>1082</v>
      </c>
      <c r="J5" s="9" t="n">
        <f aca="false">IFERROR(D5+H5,"")</f>
        <v>3633900</v>
      </c>
      <c r="K5" s="10"/>
    </row>
    <row r="6" customFormat="false" ht="21.75" hidden="false" customHeight="true" outlineLevel="0" collapsed="false">
      <c r="A6" s="5" t="s">
        <v>31</v>
      </c>
      <c r="B6" s="6" t="s">
        <v>21</v>
      </c>
      <c r="C6" s="6" t="s">
        <v>32</v>
      </c>
      <c r="D6" s="20" t="n">
        <f aca="false">IFERROR(Instagram!E7,"")</f>
        <v>213000</v>
      </c>
      <c r="E6" s="24" t="str">
        <f aca="false">IFERROR(Instagram!N7,"")</f>
        <v>N/A</v>
      </c>
      <c r="F6" s="9" t="n">
        <f aca="false">IFERROR(Instagram!G7,"")</f>
        <v>444</v>
      </c>
      <c r="G6" s="25" t="str">
        <f aca="false">IFERROR(Instagram!I7&amp;"/"&amp;Instagram!J7&amp;"/"&amp;Instagram!K7,"")</f>
        <v>0/0/12</v>
      </c>
      <c r="H6" s="20" t="n">
        <f aca="false">IFERROR(TikTok!D6,"")</f>
        <v>8916</v>
      </c>
      <c r="I6" s="20" t="n">
        <f aca="false">IFERROR(TikTok!K6,"")</f>
        <v>751.666666666667</v>
      </c>
      <c r="J6" s="9" t="n">
        <f aca="false">IFERROR(D6+H6,"")</f>
        <v>221916</v>
      </c>
      <c r="K6" s="10"/>
    </row>
    <row r="7" customFormat="false" ht="21.75" hidden="false" customHeight="true" outlineLevel="0" collapsed="false">
      <c r="A7" s="5" t="s">
        <v>38</v>
      </c>
      <c r="B7" s="6" t="s">
        <v>21</v>
      </c>
      <c r="C7" s="6" t="s">
        <v>32</v>
      </c>
      <c r="D7" s="20" t="n">
        <f aca="false">IFERROR(Instagram!E8,"")</f>
        <v>152000</v>
      </c>
      <c r="E7" s="24" t="n">
        <f aca="false">IFERROR(Instagram!N8,"")</f>
        <v>0.197</v>
      </c>
      <c r="F7" s="9" t="n">
        <f aca="false">IFERROR(Instagram!G8,"")</f>
        <v>41</v>
      </c>
      <c r="G7" s="25" t="str">
        <f aca="false">IFERROR(Instagram!I8&amp;"/"&amp;Instagram!J8&amp;"/"&amp;Instagram!K8,"")</f>
        <v>0/1/11</v>
      </c>
      <c r="H7" s="20" t="n">
        <f aca="false">IFERROR(TikTok!D7,"")</f>
        <v>1022</v>
      </c>
      <c r="I7" s="20" t="n">
        <f aca="false">IFERROR(TikTok!K7,"")</f>
        <v>269.666666666667</v>
      </c>
      <c r="J7" s="9" t="n">
        <f aca="false">IFERROR(D7+H7,"")</f>
        <v>153022</v>
      </c>
      <c r="K7" s="10"/>
    </row>
    <row r="8" customFormat="false" ht="21.75" hidden="false" customHeight="true" outlineLevel="0" collapsed="false">
      <c r="A8" s="5" t="s">
        <v>42</v>
      </c>
      <c r="B8" s="6" t="s">
        <v>43</v>
      </c>
      <c r="C8" s="6" t="s">
        <v>32</v>
      </c>
      <c r="D8" s="20" t="n">
        <f aca="false">IFERROR(Instagram!E9,"")</f>
        <v>2700000</v>
      </c>
      <c r="E8" s="24" t="n">
        <f aca="false">IFERROR(Instagram!N9,"")</f>
        <v>0.062</v>
      </c>
      <c r="F8" s="9" t="n">
        <f aca="false">IFERROR(Instagram!G9,"")</f>
        <v>1381</v>
      </c>
      <c r="G8" s="25" t="str">
        <f aca="false">IFERROR(Instagram!I9&amp;"/"&amp;Instagram!J9&amp;"/"&amp;Instagram!K9,"")</f>
        <v>5/0/7</v>
      </c>
      <c r="H8" s="20" t="n">
        <f aca="false">IFERROR(TikTok!D8,"")</f>
        <v>1500000</v>
      </c>
      <c r="I8" s="20" t="n">
        <f aca="false">IFERROR(TikTok!K8,"")</f>
        <v>2333.66666666667</v>
      </c>
      <c r="J8" s="9" t="n">
        <f aca="false">IFERROR(D8+H8,"")</f>
        <v>4200000</v>
      </c>
      <c r="K8" s="10"/>
    </row>
    <row r="9" customFormat="false" ht="21.75" hidden="false" customHeight="true" outlineLevel="0" collapsed="false">
      <c r="A9" s="5" t="s">
        <v>46</v>
      </c>
      <c r="B9" s="6" t="s">
        <v>47</v>
      </c>
      <c r="C9" s="6" t="s">
        <v>32</v>
      </c>
      <c r="D9" s="20" t="n">
        <f aca="false">IFERROR(Instagram!E10,"")</f>
        <v>258000</v>
      </c>
      <c r="E9" s="24" t="n">
        <f aca="false">IFERROR(Instagram!N10,"")</f>
        <v>1.157</v>
      </c>
      <c r="F9" s="9" t="n">
        <f aca="false">IFERROR(Instagram!G10,"")</f>
        <v>192</v>
      </c>
      <c r="G9" s="25" t="str">
        <f aca="false">IFERROR(Instagram!I10&amp;"/"&amp;Instagram!J10&amp;"/"&amp;Instagram!K10,"")</f>
        <v>3/1/8</v>
      </c>
      <c r="H9" s="20" t="n">
        <f aca="false">IFERROR(TikTok!D9,"")</f>
        <v>187300</v>
      </c>
      <c r="I9" s="20" t="n">
        <f aca="false">IFERROR(TikTok!K9,"")</f>
        <v>12372.3333333333</v>
      </c>
      <c r="J9" s="9" t="n">
        <f aca="false">IFERROR(D9+H9,"")</f>
        <v>445300</v>
      </c>
      <c r="K9" s="10"/>
    </row>
    <row r="10" customFormat="false" ht="21.75" hidden="false" customHeight="true" outlineLevel="0" collapsed="false">
      <c r="A10" s="5" t="s">
        <v>50</v>
      </c>
      <c r="B10" s="6" t="s">
        <v>47</v>
      </c>
      <c r="C10" s="6" t="s">
        <v>32</v>
      </c>
      <c r="D10" s="20" t="n">
        <f aca="false">IFERROR(Instagram!E11,"")</f>
        <v>777000</v>
      </c>
      <c r="E10" s="24" t="n">
        <f aca="false">IFERROR(Instagram!N11,"")</f>
        <v>0.056</v>
      </c>
      <c r="F10" s="9" t="n">
        <f aca="false">IFERROR(Instagram!G11,"")</f>
        <v>823</v>
      </c>
      <c r="G10" s="25" t="str">
        <f aca="false">IFERROR(Instagram!I11&amp;"/"&amp;Instagram!J11&amp;"/"&amp;Instagram!K11,"")</f>
        <v>5/0/7</v>
      </c>
      <c r="H10" s="20" t="n">
        <f aca="false">IFERROR(TikTok!D10,"")</f>
        <v>71700</v>
      </c>
      <c r="I10" s="20" t="n">
        <f aca="false">IFERROR(TikTok!K10,"")</f>
        <v>598.666666666667</v>
      </c>
      <c r="J10" s="9" t="n">
        <f aca="false">IFERROR(D10+H10,"")</f>
        <v>848700</v>
      </c>
      <c r="K10" s="10"/>
    </row>
    <row r="11" customFormat="false" ht="21.75" hidden="false" customHeight="true" outlineLevel="0" collapsed="false">
      <c r="A11" s="5" t="s">
        <v>54</v>
      </c>
      <c r="B11" s="6" t="s">
        <v>47</v>
      </c>
      <c r="C11" s="6" t="s">
        <v>32</v>
      </c>
      <c r="D11" s="20" t="n">
        <f aca="false">IFERROR(Instagram!E12,"")</f>
        <v>156000</v>
      </c>
      <c r="E11" s="24" t="str">
        <f aca="false">IFERROR(Instagram!N12,"")</f>
        <v>N/A</v>
      </c>
      <c r="F11" s="9" t="n">
        <f aca="false">IFERROR(Instagram!G12,"")</f>
        <v>156</v>
      </c>
      <c r="G11" s="25" t="str">
        <f aca="false">IFERROR(Instagram!I12&amp;"/"&amp;Instagram!J12&amp;"/"&amp;Instagram!K12,"")</f>
        <v>3/0/9</v>
      </c>
      <c r="H11" s="20" t="n">
        <f aca="false">IFERROR(TikTok!D11,"")</f>
        <v>15200</v>
      </c>
      <c r="I11" s="20" t="n">
        <f aca="false">IFERROR(TikTok!K11,"")</f>
        <v>505</v>
      </c>
      <c r="J11" s="9" t="n">
        <f aca="false">IFERROR(D11+H11,"")</f>
        <v>171200</v>
      </c>
      <c r="K11" s="10"/>
    </row>
    <row r="12" customFormat="false" ht="21.75" hidden="false" customHeight="true" outlineLevel="0" collapsed="false">
      <c r="A12" s="5" t="s">
        <v>57</v>
      </c>
      <c r="B12" s="6" t="s">
        <v>21</v>
      </c>
      <c r="C12" s="6" t="s">
        <v>32</v>
      </c>
      <c r="D12" s="20" t="n">
        <f aca="false">IFERROR(Instagram!E13,"")</f>
        <v>63800</v>
      </c>
      <c r="E12" s="24" t="n">
        <f aca="false">IFERROR(Instagram!N13,"")</f>
        <v>0.182</v>
      </c>
      <c r="F12" s="9" t="n">
        <f aca="false">IFERROR(Instagram!G13,"")</f>
        <v>61</v>
      </c>
      <c r="G12" s="25" t="str">
        <f aca="false">IFERROR(Instagram!I13&amp;"/"&amp;Instagram!J13&amp;"/"&amp;Instagram!K13,"")</f>
        <v>5/2/5</v>
      </c>
      <c r="H12" s="20" t="n">
        <f aca="false">IFERROR(TikTok!D12,"")</f>
        <v>70100</v>
      </c>
      <c r="I12" s="20" t="n">
        <f aca="false">IFERROR(TikTok!K12,"")</f>
        <v>30632.3333333333</v>
      </c>
      <c r="J12" s="9" t="n">
        <f aca="false">IFERROR(D12+H12,"")</f>
        <v>133900</v>
      </c>
      <c r="K12" s="10"/>
    </row>
    <row r="13" customFormat="false" ht="21.75" hidden="false" customHeight="true" outlineLevel="0" collapsed="false">
      <c r="A13" s="5" t="s">
        <v>60</v>
      </c>
      <c r="B13" s="6" t="s">
        <v>47</v>
      </c>
      <c r="C13" s="6" t="s">
        <v>32</v>
      </c>
      <c r="D13" s="20" t="n">
        <f aca="false">IFERROR(Instagram!E14,"")</f>
        <v>139000</v>
      </c>
      <c r="E13" s="24" t="str">
        <f aca="false">IFERROR(Instagram!N14,"")</f>
        <v>N/A</v>
      </c>
      <c r="F13" s="9" t="n">
        <f aca="false">IFERROR(Instagram!G14,"")</f>
        <v>106</v>
      </c>
      <c r="G13" s="25" t="str">
        <f aca="false">IFERROR(Instagram!I14&amp;"/"&amp;Instagram!J14&amp;"/"&amp;Instagram!K14,"")</f>
        <v>5/0/7</v>
      </c>
      <c r="H13" s="20" t="n">
        <f aca="false">IFERROR(TikTok!D13,"")</f>
        <v>4541</v>
      </c>
      <c r="I13" s="20" t="n">
        <f aca="false">IFERROR(TikTok!K13,"")</f>
        <v>485.666666666667</v>
      </c>
      <c r="J13" s="9" t="n">
        <f aca="false">IFERROR(D13+H13,"")</f>
        <v>143541</v>
      </c>
      <c r="K13" s="10"/>
    </row>
    <row r="14" customFormat="false" ht="21.75" hidden="false" customHeight="true" outlineLevel="0" collapsed="false">
      <c r="A14" s="5" t="s">
        <v>63</v>
      </c>
      <c r="B14" s="6" t="s">
        <v>64</v>
      </c>
      <c r="C14" s="6" t="s">
        <v>32</v>
      </c>
      <c r="D14" s="9" t="n">
        <f aca="false">IFERROR(Instagram!E15,"")</f>
        <v>676000</v>
      </c>
      <c r="E14" s="26" t="n">
        <f aca="false">IFERROR(Instagram!N15,"")</f>
        <v>2.366</v>
      </c>
      <c r="F14" s="9" t="n">
        <f aca="false">IFERROR(Instagram!G15,"")</f>
        <v>12291</v>
      </c>
      <c r="G14" s="15" t="str">
        <f aca="false">IFERROR(Instagram!I15&amp;"/"&amp;Instagram!J15&amp;"/"&amp;Instagram!K15,"")</f>
        <v>0/0/12</v>
      </c>
      <c r="H14" s="9" t="n">
        <f aca="false">IFERROR(TikTok!D14,"")</f>
        <v>967400</v>
      </c>
      <c r="I14" s="9" t="n">
        <f aca="false">IFERROR(TikTok!K14,"")</f>
        <v>33433.3333333333</v>
      </c>
      <c r="J14" s="9" t="n">
        <f aca="false">IFERROR(D14+H14,"")</f>
        <v>1643400</v>
      </c>
      <c r="K14" s="10" t="s">
        <v>111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2026-02-27T18:08:03Z</dcterms:created>
  <dc:creator>openpyxl</dc:creator>
  <dc:description/>
  <dc:language>en-US</dc:language>
  <cp:lastModifiedBy>sewa breiler</cp:lastModifiedBy>
  <dcterms:modified xsi:type="dcterms:W3CDTF">2026-03-01T09:29:25Z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