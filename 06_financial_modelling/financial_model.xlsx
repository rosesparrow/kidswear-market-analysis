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Unit Economics" sheetId="2" state="visible" r:id="rId4"/>
    <sheet name="3-Year P&amp;L" sheetId="3" state="visible" r:id="rId5"/>
    <sheet name="Break-Ev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<sst xmlns="http://schemas.openxmlformats.org/spreadsheetml/2006/main" count="131" uniqueCount="76">
  <si>
    <t xml:space="preserve">FINANCIAL MODEL — Teen Sleepwear DTC Brand (Illustrative)</t>
  </si>
  <si>
    <t xml:space="preserve">HOW TO USE: Edit any blue cell (yellow background) to update the model. All other cells are formulas and recalculate automatically.</t>
  </si>
  <si>
    <t xml:space="preserve">COLOUR KEY:  Blue text = editable input  |  Black text = formula  |  Green text = cross-sheet reference</t>
  </si>
  <si>
    <t xml:space="preserve">TABS:  Assumptions → Unit Economics → 3-Year P&amp;L → Break-Even</t>
  </si>
  <si>
    <t xml:space="preserve">PRODUCT PRICING (£ GBP)</t>
  </si>
  <si>
    <t xml:space="preserve">Product</t>
  </si>
  <si>
    <t xml:space="preserve">Lower Price (£)</t>
  </si>
  <si>
    <t xml:space="preserve">Higher Price (£)</t>
  </si>
  <si>
    <t xml:space="preserve">PJ Set</t>
  </si>
  <si>
    <t xml:space="preserve">Lounge Set</t>
  </si>
  <si>
    <t xml:space="preserve">Shorts Set</t>
  </si>
  <si>
    <t xml:space="preserve">COST OF GOODS SOLD (£ per unit)</t>
  </si>
  <si>
    <t xml:space="preserve">POD COGS (£)</t>
  </si>
  <si>
    <t xml:space="preserve">Direct COGS (£)</t>
  </si>
  <si>
    <t xml:space="preserve">Source: POD costs from Printful/Printify benchmarks (Mar 2026)</t>
  </si>
  <si>
    <t xml:space="preserve">Source: Direct mfg costs are industry estimates — see methodology note in notebook 06</t>
  </si>
  <si>
    <t xml:space="preserve">ANNUAL FIXED COSTS (£)</t>
  </si>
  <si>
    <t xml:space="preserve">Cost Item</t>
  </si>
  <si>
    <t xml:space="preserve">POD Model (£)</t>
  </si>
  <si>
    <t xml:space="preserve">Direct Model (£)</t>
  </si>
  <si>
    <t xml:space="preserve">Shopify + apps</t>
  </si>
  <si>
    <t xml:space="preserve">Photography / content</t>
  </si>
  <si>
    <t xml:space="preserve">Marketing (organic + paid)</t>
  </si>
  <si>
    <t xml:space="preserve">Domain + email</t>
  </si>
  <si>
    <t xml:space="preserve">Samples + R&amp;D</t>
  </si>
  <si>
    <t xml:space="preserve">Initial inventory (Year 1 only)</t>
  </si>
  <si>
    <t xml:space="preserve">Warehousing / 3PL</t>
  </si>
  <si>
    <t xml:space="preserve">TOTAL FIXED COSTS (Year 1)</t>
  </si>
  <si>
    <t xml:space="preserve">TOTAL FIXED COSTS (Year 2+)</t>
  </si>
  <si>
    <t xml:space="preserve">VOLUME ASSUMPTIONS (orders/year)</t>
  </si>
  <si>
    <t xml:space="preserve">Scenario</t>
  </si>
  <si>
    <t xml:space="preserve">Year 1</t>
  </si>
  <si>
    <t xml:space="preserve">Year 2</t>
  </si>
  <si>
    <t xml:space="preserve">Year 3</t>
  </si>
  <si>
    <t xml:space="preserve">Y1→Y2 Growth</t>
  </si>
  <si>
    <t xml:space="preserve">Y2→Y3 Growth</t>
  </si>
  <si>
    <t xml:space="preserve">Conservative</t>
  </si>
  <si>
    <t xml:space="preserve">Base</t>
  </si>
  <si>
    <t xml:space="preserve">Optimistic</t>
  </si>
  <si>
    <t xml:space="preserve">PRODUCT MIX (% of total orders)</t>
  </si>
  <si>
    <t xml:space="preserve">SOURCES</t>
  </si>
  <si>
    <t xml:space="preserve">DTC failure rates: ~90% close by year 5, ~30% in year 1, ~70% by year 3 (One Fourth, via inBeat Agency)</t>
  </si>
  <si>
    <t xml:space="preserve">Successful clothing startups aim for £1–10M revenue in first 3–5 years (BusinessDojo)</t>
  </si>
  <si>
    <t xml:space="preserve">UK fashion e-commerce CAGR ~10–15% (BoF/McKinsey; IRP Commerce)</t>
  </si>
  <si>
    <t xml:space="preserve">Average Shopify store revenue ~£67K/year (The Frank Agency, Shopify Statistics 2026)</t>
  </si>
  <si>
    <t xml:space="preserve">UNIT ECONOMICS — POD vs Direct Manufacturing</t>
  </si>
  <si>
    <t xml:space="preserve">LOWER PRICE SCENARIO</t>
  </si>
  <si>
    <t xml:space="preserve">Price (£)</t>
  </si>
  <si>
    <t xml:space="preserve">POD COGS</t>
  </si>
  <si>
    <t xml:space="preserve">POD GP (£)</t>
  </si>
  <si>
    <t xml:space="preserve">POD Margin</t>
  </si>
  <si>
    <t xml:space="preserve">Direct COGS</t>
  </si>
  <si>
    <t xml:space="preserve">Direct GP (£)</t>
  </si>
  <si>
    <t xml:space="preserve">Direct Margin</t>
  </si>
  <si>
    <t xml:space="preserve">HIGHER PRICE SCENARIO</t>
  </si>
  <si>
    <t xml:space="preserve">3-YEAR P&amp;L — BASE CASE</t>
  </si>
  <si>
    <t xml:space="preserve">POD — LOWER PRICE</t>
  </si>
  <si>
    <t xml:space="preserve">Orders</t>
  </si>
  <si>
    <t xml:space="preserve">Revenue</t>
  </si>
  <si>
    <t xml:space="preserve">COGS</t>
  </si>
  <si>
    <t xml:space="preserve">Gross Profit</t>
  </si>
  <si>
    <t xml:space="preserve">Gross Margin %</t>
  </si>
  <si>
    <t xml:space="preserve">Fixed Costs</t>
  </si>
  <si>
    <t xml:space="preserve">Net Profit</t>
  </si>
  <si>
    <t xml:space="preserve">DIRECT — LOWER PRICE</t>
  </si>
  <si>
    <t xml:space="preserve">POD — HIGHER PRICE</t>
  </si>
  <si>
    <t xml:space="preserve">DIRECT — HIGHER PRICE</t>
  </si>
  <si>
    <t xml:space="preserve">BREAK-EVEN ANALYSIS</t>
  </si>
  <si>
    <t xml:space="preserve">Model / Price</t>
  </si>
  <si>
    <t xml:space="preserve">Blended GP/Order (£)</t>
  </si>
  <si>
    <t xml:space="preserve">Y1 Fixed Costs (£)</t>
  </si>
  <si>
    <t xml:space="preserve">Break-Even Orders (Y1)</t>
  </si>
  <si>
    <t xml:space="preserve">POD — Lower</t>
  </si>
  <si>
    <t xml:space="preserve">Direct — Lower</t>
  </si>
  <si>
    <t xml:space="preserve">POD — Higher</t>
  </si>
  <si>
    <t xml:space="preserve">Direct — Higher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</si>
</sst>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£#,##0"/>
    <numFmt numFmtId="166" formatCode="#,##0"/>
    <numFmt numFmtId="167" formatCode="0.0%"/>
    <numFmt numFmtId="168" formatCode="\£#,##0;&quot;(£&quot;#,##0\);\-"/>
    <numFmt numFmtId="169" formatCode="\£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2E5FA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7AE60"/>
      <rgbColor rgb="FF003300"/>
      <rgbColor rgb="FF333300"/>
      <rgbColor rgb="FFC0392B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F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5" t="s">
        <v>5</v>
      </c>
      <c r="B7" s="5" t="s">
        <v>6</v>
      </c>
      <c r="C7" s="5" t="s">
        <v>7</v>
      </c>
    </row>
    <row r="8" customFormat="false" ht="15" hidden="false" customHeight="false" outlineLevel="0" collapsed="false">
      <c r="A8" s="6" t="s">
        <v>8</v>
      </c>
      <c r="B8" s="7" t="n">
        <v>35</v>
      </c>
      <c r="C8" s="7" t="n">
        <v>45</v>
      </c>
    </row>
    <row r="9" customFormat="false" ht="15" hidden="false" customHeight="false" outlineLevel="0" collapsed="false">
      <c r="A9" s="6" t="s">
        <v>9</v>
      </c>
      <c r="B9" s="7" t="n">
        <v>38</v>
      </c>
      <c r="C9" s="7" t="n">
        <v>48</v>
      </c>
    </row>
    <row r="10" customFormat="false" ht="15" hidden="false" customHeight="false" outlineLevel="0" collapsed="false">
      <c r="A10" s="6" t="s">
        <v>10</v>
      </c>
      <c r="B10" s="7" t="n">
        <v>30</v>
      </c>
      <c r="C10" s="7" t="n">
        <v>38</v>
      </c>
    </row>
    <row r="12" customFormat="false" ht="15" hidden="false" customHeight="false" outlineLevel="0" collapsed="false">
      <c r="A12" s="4" t="s">
        <v>11</v>
      </c>
    </row>
    <row r="13" customFormat="false" ht="15" hidden="false" customHeight="false" outlineLevel="0" collapsed="false">
      <c r="A13" s="5" t="s">
        <v>5</v>
      </c>
      <c r="B13" s="5" t="s">
        <v>12</v>
      </c>
      <c r="C13" s="5" t="s">
        <v>13</v>
      </c>
    </row>
    <row r="14" customFormat="false" ht="15" hidden="false" customHeight="false" outlineLevel="0" collapsed="false">
      <c r="A14" s="6" t="s">
        <v>8</v>
      </c>
      <c r="B14" s="7" t="n">
        <v>27</v>
      </c>
      <c r="C14" s="7" t="n">
        <v>12</v>
      </c>
    </row>
    <row r="15" customFormat="false" ht="15" hidden="false" customHeight="false" outlineLevel="0" collapsed="false">
      <c r="A15" s="6" t="s">
        <v>9</v>
      </c>
      <c r="B15" s="7" t="n">
        <v>25</v>
      </c>
      <c r="C15" s="7" t="n">
        <v>11</v>
      </c>
    </row>
    <row r="16" customFormat="false" ht="15" hidden="false" customHeight="false" outlineLevel="0" collapsed="false">
      <c r="A16" s="6" t="s">
        <v>10</v>
      </c>
      <c r="B16" s="7" t="n">
        <v>18</v>
      </c>
      <c r="C16" s="7" t="n">
        <v>8</v>
      </c>
    </row>
    <row r="18" customFormat="false" ht="15" hidden="false" customHeight="false" outlineLevel="0" collapsed="false">
      <c r="A18" s="8" t="s">
        <v>14</v>
      </c>
    </row>
    <row r="19" customFormat="false" ht="15" hidden="false" customHeight="false" outlineLevel="0" collapsed="false">
      <c r="A19" s="8" t="s">
        <v>15</v>
      </c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5" t="s">
        <v>17</v>
      </c>
      <c r="B22" s="5" t="s">
        <v>18</v>
      </c>
      <c r="C22" s="5" t="s">
        <v>19</v>
      </c>
    </row>
    <row r="23" customFormat="false" ht="15" hidden="false" customHeight="false" outlineLevel="0" collapsed="false">
      <c r="A23" s="6" t="s">
        <v>20</v>
      </c>
      <c r="B23" s="7" t="n">
        <v>312</v>
      </c>
      <c r="C23" s="7" t="n">
        <v>312</v>
      </c>
    </row>
    <row r="24" customFormat="false" ht="15" hidden="false" customHeight="false" outlineLevel="0" collapsed="false">
      <c r="A24" s="6" t="s">
        <v>21</v>
      </c>
      <c r="B24" s="7" t="n">
        <v>800</v>
      </c>
      <c r="C24" s="7" t="n">
        <v>1200</v>
      </c>
    </row>
    <row r="25" customFormat="false" ht="15" hidden="false" customHeight="false" outlineLevel="0" collapsed="false">
      <c r="A25" s="6" t="s">
        <v>22</v>
      </c>
      <c r="B25" s="7" t="n">
        <v>1500</v>
      </c>
      <c r="C25" s="7" t="n">
        <v>2500</v>
      </c>
    </row>
    <row r="26" customFormat="false" ht="15" hidden="false" customHeight="false" outlineLevel="0" collapsed="false">
      <c r="A26" s="6" t="s">
        <v>23</v>
      </c>
      <c r="B26" s="7" t="n">
        <v>30</v>
      </c>
      <c r="C26" s="7" t="n">
        <v>30</v>
      </c>
    </row>
    <row r="27" customFormat="false" ht="15" hidden="false" customHeight="false" outlineLevel="0" collapsed="false">
      <c r="A27" s="6" t="s">
        <v>24</v>
      </c>
      <c r="B27" s="7" t="n">
        <v>300</v>
      </c>
      <c r="C27" s="7" t="n">
        <v>500</v>
      </c>
    </row>
    <row r="28" customFormat="false" ht="15" hidden="false" customHeight="false" outlineLevel="0" collapsed="false">
      <c r="A28" s="6" t="s">
        <v>25</v>
      </c>
      <c r="B28" s="7" t="n">
        <v>0</v>
      </c>
      <c r="C28" s="7" t="n">
        <v>5000</v>
      </c>
    </row>
    <row r="29" customFormat="false" ht="15" hidden="false" customHeight="false" outlineLevel="0" collapsed="false">
      <c r="A29" s="6" t="s">
        <v>26</v>
      </c>
      <c r="B29" s="7" t="n">
        <v>0</v>
      </c>
      <c r="C29" s="7" t="n">
        <v>1200</v>
      </c>
    </row>
    <row r="30" customFormat="false" ht="15" hidden="false" customHeight="false" outlineLevel="0" collapsed="false">
      <c r="A30" s="9" t="s">
        <v>27</v>
      </c>
      <c r="B30" s="10" t="n">
        <f aca="false">SUM(B23:B29)</f>
        <v>2942</v>
      </c>
      <c r="C30" s="10" t="n">
        <f aca="false">SUM(C23:C29)</f>
        <v>10742</v>
      </c>
    </row>
    <row r="31" customFormat="false" ht="15" hidden="false" customHeight="false" outlineLevel="0" collapsed="false">
      <c r="A31" s="9" t="s">
        <v>28</v>
      </c>
      <c r="B31" s="10" t="n">
        <f aca="false">SUM(B23:B27)</f>
        <v>2942</v>
      </c>
      <c r="C31" s="10" t="n">
        <f aca="false">SUM(C23:C27,C29)</f>
        <v>5742</v>
      </c>
    </row>
    <row r="33" customFormat="false" ht="15" hidden="false" customHeight="false" outlineLevel="0" collapsed="false">
      <c r="A33" s="4" t="s">
        <v>29</v>
      </c>
    </row>
    <row r="34" customFormat="false" ht="15" hidden="false" customHeight="false" outlineLevel="0" collapsed="false">
      <c r="A34" s="5" t="s">
        <v>30</v>
      </c>
      <c r="B34" s="5" t="s">
        <v>31</v>
      </c>
      <c r="C34" s="5" t="s">
        <v>32</v>
      </c>
      <c r="D34" s="5" t="s">
        <v>33</v>
      </c>
      <c r="E34" s="5" t="s">
        <v>34</v>
      </c>
      <c r="F34" s="5" t="s">
        <v>35</v>
      </c>
    </row>
    <row r="35" customFormat="false" ht="15" hidden="false" customHeight="false" outlineLevel="0" collapsed="false">
      <c r="A35" s="6" t="s">
        <v>36</v>
      </c>
      <c r="B35" s="11" t="n">
        <v>100</v>
      </c>
      <c r="C35" s="11" t="n">
        <v>175</v>
      </c>
      <c r="D35" s="11" t="n">
        <v>260</v>
      </c>
      <c r="E35" s="12" t="n">
        <f aca="false">(C35-B35)/B35</f>
        <v>0.75</v>
      </c>
      <c r="F35" s="12" t="n">
        <f aca="false">(D35-C35)/C35</f>
        <v>0.485714285714286</v>
      </c>
    </row>
    <row r="36" customFormat="false" ht="15" hidden="false" customHeight="false" outlineLevel="0" collapsed="false">
      <c r="A36" s="6" t="s">
        <v>37</v>
      </c>
      <c r="B36" s="11" t="n">
        <v>250</v>
      </c>
      <c r="C36" s="11" t="n">
        <v>450</v>
      </c>
      <c r="D36" s="11" t="n">
        <v>700</v>
      </c>
      <c r="E36" s="12" t="n">
        <f aca="false">(C36-B36)/B36</f>
        <v>0.8</v>
      </c>
      <c r="F36" s="12" t="n">
        <f aca="false">(D36-C36)/C36</f>
        <v>0.555555555555556</v>
      </c>
    </row>
    <row r="37" customFormat="false" ht="15" hidden="false" customHeight="false" outlineLevel="0" collapsed="false">
      <c r="A37" s="6" t="s">
        <v>38</v>
      </c>
      <c r="B37" s="11" t="n">
        <v>500</v>
      </c>
      <c r="C37" s="11" t="n">
        <v>1000</v>
      </c>
      <c r="D37" s="11" t="n">
        <v>1750</v>
      </c>
      <c r="E37" s="12" t="n">
        <f aca="false">(C37-B37)/B37</f>
        <v>1</v>
      </c>
      <c r="F37" s="12" t="n">
        <f aca="false">(D37-C37)/C37</f>
        <v>0.75</v>
      </c>
    </row>
    <row r="39" customFormat="false" ht="15" hidden="false" customHeight="false" outlineLevel="0" collapsed="false">
      <c r="A39" s="4" t="s">
        <v>39</v>
      </c>
    </row>
    <row r="40" customFormat="false" ht="15" hidden="false" customHeight="false" outlineLevel="0" collapsed="false">
      <c r="A40" s="6" t="s">
        <v>8</v>
      </c>
      <c r="B40" s="13" t="n">
        <v>0.45</v>
      </c>
    </row>
    <row r="41" customFormat="false" ht="15" hidden="false" customHeight="false" outlineLevel="0" collapsed="false">
      <c r="A41" s="6" t="s">
        <v>9</v>
      </c>
      <c r="B41" s="13" t="n">
        <v>0.3</v>
      </c>
    </row>
    <row r="42" customFormat="false" ht="15" hidden="false" customHeight="false" outlineLevel="0" collapsed="false">
      <c r="A42" s="6" t="s">
        <v>10</v>
      </c>
      <c r="B42" s="13" t="n">
        <v>0.25</v>
      </c>
    </row>
    <row r="44" customFormat="false" ht="15" hidden="false" customHeight="false" outlineLevel="0" collapsed="false">
      <c r="A44" s="4" t="s">
        <v>40</v>
      </c>
    </row>
    <row r="45" customFormat="false" ht="15" hidden="false" customHeight="false" outlineLevel="0" collapsed="false">
      <c r="A45" s="8" t="s">
        <v>41</v>
      </c>
    </row>
    <row r="46" customFormat="false" ht="15" hidden="false" customHeight="false" outlineLevel="0" collapsed="false">
      <c r="A46" s="8" t="s">
        <v>42</v>
      </c>
    </row>
    <row r="47" customFormat="false" ht="15" hidden="false" customHeight="false" outlineLevel="0" collapsed="false">
      <c r="A47" s="8" t="s">
        <v>43</v>
      </c>
    </row>
    <row r="48" customFormat="false" ht="15" hidden="false" customHeight="false" outlineLevel="0" collapsed="false">
      <c r="A48" s="8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A3"/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4"/>
  </cols>
  <sheetData>
    <row r="1" customFormat="false" ht="17.35" hidden="false" customHeight="false" outlineLevel="0" collapsed="false">
      <c r="A1" s="1" t="s">
        <v>45</v>
      </c>
    </row>
    <row r="3" customFormat="false" ht="15" hidden="false" customHeight="false" outlineLevel="0" collapsed="false">
      <c r="A3" s="14" t="s">
        <v>46</v>
      </c>
    </row>
    <row r="4" customFormat="false" ht="15" hidden="false" customHeight="false" outlineLevel="0" collapsed="false">
      <c r="A4" s="5" t="s">
        <v>5</v>
      </c>
      <c r="B4" s="5" t="s">
        <v>47</v>
      </c>
      <c r="C4" s="5" t="s">
        <v>48</v>
      </c>
      <c r="D4" s="5" t="s">
        <v>49</v>
      </c>
      <c r="E4" s="5" t="s">
        <v>50</v>
      </c>
      <c r="F4" s="5" t="s">
        <v>51</v>
      </c>
      <c r="G4" s="5" t="s">
        <v>52</v>
      </c>
      <c r="H4" s="5" t="s">
        <v>53</v>
      </c>
    </row>
    <row r="5" customFormat="false" ht="15" hidden="false" customHeight="false" outlineLevel="0" collapsed="false">
      <c r="A5" s="6" t="s">
        <v>8</v>
      </c>
      <c r="B5" s="15" t="n">
        <f aca="false">Assumptions!B8</f>
        <v>35</v>
      </c>
      <c r="C5" s="15" t="n">
        <f aca="false">Assumptions!B14</f>
        <v>27</v>
      </c>
      <c r="D5" s="10" t="n">
        <f aca="false">B5-C5</f>
        <v>8</v>
      </c>
      <c r="E5" s="12" t="n">
        <f aca="false">D5/B5</f>
        <v>0.228571428571429</v>
      </c>
      <c r="F5" s="15" t="n">
        <f aca="false">Assumptions!C14</f>
        <v>12</v>
      </c>
      <c r="G5" s="10" t="n">
        <f aca="false">B5-F5</f>
        <v>23</v>
      </c>
      <c r="H5" s="12" t="n">
        <f aca="false">G5/B5</f>
        <v>0.657142857142857</v>
      </c>
    </row>
    <row r="6" customFormat="false" ht="15" hidden="false" customHeight="false" outlineLevel="0" collapsed="false">
      <c r="A6" s="6" t="s">
        <v>9</v>
      </c>
      <c r="B6" s="15" t="n">
        <f aca="false">Assumptions!B9</f>
        <v>38</v>
      </c>
      <c r="C6" s="15" t="n">
        <f aca="false">Assumptions!B15</f>
        <v>25</v>
      </c>
      <c r="D6" s="10" t="n">
        <f aca="false">B6-C6</f>
        <v>13</v>
      </c>
      <c r="E6" s="12" t="n">
        <f aca="false">D6/B6</f>
        <v>0.342105263157895</v>
      </c>
      <c r="F6" s="15" t="n">
        <f aca="false">Assumptions!C15</f>
        <v>11</v>
      </c>
      <c r="G6" s="10" t="n">
        <f aca="false">B6-F6</f>
        <v>27</v>
      </c>
      <c r="H6" s="12" t="n">
        <f aca="false">G6/B6</f>
        <v>0.710526315789474</v>
      </c>
    </row>
    <row r="7" customFormat="false" ht="15" hidden="false" customHeight="false" outlineLevel="0" collapsed="false">
      <c r="A7" s="6" t="s">
        <v>10</v>
      </c>
      <c r="B7" s="15" t="n">
        <f aca="false">Assumptions!B10</f>
        <v>30</v>
      </c>
      <c r="C7" s="15" t="n">
        <f aca="false">Assumptions!B16</f>
        <v>18</v>
      </c>
      <c r="D7" s="10" t="n">
        <f aca="false">B7-C7</f>
        <v>12</v>
      </c>
      <c r="E7" s="12" t="n">
        <f aca="false">D7/B7</f>
        <v>0.4</v>
      </c>
      <c r="F7" s="15" t="n">
        <f aca="false">Assumptions!C16</f>
        <v>8</v>
      </c>
      <c r="G7" s="10" t="n">
        <f aca="false">B7-F7</f>
        <v>22</v>
      </c>
      <c r="H7" s="12" t="n">
        <f aca="false">G7/B7</f>
        <v>0.733333333333333</v>
      </c>
    </row>
    <row r="10" customFormat="false" ht="15" hidden="false" customHeight="false" outlineLevel="0" collapsed="false">
      <c r="A10" s="14" t="s">
        <v>54</v>
      </c>
    </row>
    <row r="11" customFormat="false" ht="15" hidden="false" customHeight="false" outlineLevel="0" collapsed="false">
      <c r="A11" s="5" t="s">
        <v>5</v>
      </c>
      <c r="B11" s="5" t="s">
        <v>47</v>
      </c>
      <c r="C11" s="5" t="s">
        <v>48</v>
      </c>
      <c r="D11" s="5" t="s">
        <v>49</v>
      </c>
      <c r="E11" s="5" t="s">
        <v>50</v>
      </c>
      <c r="F11" s="5" t="s">
        <v>51</v>
      </c>
      <c r="G11" s="5" t="s">
        <v>52</v>
      </c>
      <c r="H11" s="5" t="s">
        <v>53</v>
      </c>
    </row>
    <row r="12" customFormat="false" ht="15" hidden="false" customHeight="false" outlineLevel="0" collapsed="false">
      <c r="A12" s="6" t="s">
        <v>8</v>
      </c>
      <c r="B12" s="15" t="n">
        <f aca="false">Assumptions!C8</f>
        <v>45</v>
      </c>
      <c r="C12" s="15" t="n">
        <f aca="false">Assumptions!B14</f>
        <v>27</v>
      </c>
      <c r="D12" s="10" t="n">
        <f aca="false">B12-C12</f>
        <v>18</v>
      </c>
      <c r="E12" s="12" t="n">
        <f aca="false">D12/B12</f>
        <v>0.4</v>
      </c>
      <c r="F12" s="15" t="n">
        <f aca="false">Assumptions!C14</f>
        <v>12</v>
      </c>
      <c r="G12" s="10" t="n">
        <f aca="false">B12-F12</f>
        <v>33</v>
      </c>
      <c r="H12" s="12" t="n">
        <f aca="false">G12/B12</f>
        <v>0.733333333333333</v>
      </c>
    </row>
    <row r="13" customFormat="false" ht="15" hidden="false" customHeight="false" outlineLevel="0" collapsed="false">
      <c r="A13" s="6" t="s">
        <v>9</v>
      </c>
      <c r="B13" s="15" t="n">
        <f aca="false">Assumptions!C9</f>
        <v>48</v>
      </c>
      <c r="C13" s="15" t="n">
        <f aca="false">Assumptions!B15</f>
        <v>25</v>
      </c>
      <c r="D13" s="10" t="n">
        <f aca="false">B13-C13</f>
        <v>23</v>
      </c>
      <c r="E13" s="12" t="n">
        <f aca="false">D13/B13</f>
        <v>0.479166666666667</v>
      </c>
      <c r="F13" s="15" t="n">
        <f aca="false">Assumptions!C15</f>
        <v>11</v>
      </c>
      <c r="G13" s="10" t="n">
        <f aca="false">B13-F13</f>
        <v>37</v>
      </c>
      <c r="H13" s="12" t="n">
        <f aca="false">G13/B13</f>
        <v>0.770833333333333</v>
      </c>
    </row>
    <row r="14" customFormat="false" ht="15" hidden="false" customHeight="false" outlineLevel="0" collapsed="false">
      <c r="A14" s="6" t="s">
        <v>10</v>
      </c>
      <c r="B14" s="15" t="n">
        <f aca="false">Assumptions!C10</f>
        <v>38</v>
      </c>
      <c r="C14" s="15" t="n">
        <f aca="false">Assumptions!B16</f>
        <v>18</v>
      </c>
      <c r="D14" s="10" t="n">
        <f aca="false">B14-C14</f>
        <v>20</v>
      </c>
      <c r="E14" s="12" t="n">
        <f aca="false">D14/B14</f>
        <v>0.526315789473684</v>
      </c>
      <c r="F14" s="15" t="n">
        <f aca="false">Assumptions!C16</f>
        <v>8</v>
      </c>
      <c r="G14" s="10" t="n">
        <f aca="false">B14-F14</f>
        <v>30</v>
      </c>
      <c r="H14" s="12" t="n">
        <f aca="false">G14/B14</f>
        <v>0.789473684210526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55</v>
      </c>
    </row>
    <row r="3" customFormat="false" ht="15" hidden="false" customHeight="false" outlineLevel="0" collapsed="false">
      <c r="A3" s="4" t="s">
        <v>56</v>
      </c>
    </row>
    <row r="4" customFormat="false" ht="15" hidden="false" customHeight="false" outlineLevel="0" collapsed="false">
      <c r="A4" s="5"/>
      <c r="B4" s="5" t="s">
        <v>31</v>
      </c>
      <c r="C4" s="5" t="s">
        <v>32</v>
      </c>
      <c r="D4" s="5" t="s">
        <v>33</v>
      </c>
    </row>
    <row r="5" customFormat="false" ht="15" hidden="false" customHeight="false" outlineLevel="0" collapsed="false">
      <c r="A5" s="6" t="s">
        <v>57</v>
      </c>
      <c r="B5" s="16" t="n">
        <f aca="false">Assumptions!B36</f>
        <v>250</v>
      </c>
      <c r="C5" s="16" t="n">
        <f aca="false">Assumptions!C36</f>
        <v>450</v>
      </c>
      <c r="D5" s="16" t="n">
        <f aca="false">Assumptions!D36</f>
        <v>700</v>
      </c>
    </row>
    <row r="6" customFormat="false" ht="15" hidden="false" customHeight="false" outlineLevel="0" collapsed="false">
      <c r="A6" s="6" t="s">
        <v>58</v>
      </c>
      <c r="B6" s="10" t="n">
        <f aca="false">B5*(Assumptions!B40*Assumptions!B8+Assumptions!B41*Assumptions!B9+Assumptions!B42*Assumptions!B10)</f>
        <v>8662.5</v>
      </c>
      <c r="C6" s="10" t="n">
        <f aca="false">C5*(Assumptions!B40*Assumptions!B8+Assumptions!B41*Assumptions!B9+Assumptions!B42*Assumptions!B10)</f>
        <v>15592.5</v>
      </c>
      <c r="D6" s="10" t="n">
        <f aca="false">D5*(Assumptions!B40*Assumptions!B8+Assumptions!B41*Assumptions!B9+Assumptions!B42*Assumptions!B10)</f>
        <v>24255</v>
      </c>
    </row>
    <row r="7" customFormat="false" ht="15" hidden="false" customHeight="false" outlineLevel="0" collapsed="false">
      <c r="A7" s="6" t="s">
        <v>59</v>
      </c>
      <c r="B7" s="10" t="n">
        <f aca="false">B5*(Assumptions!B40*Assumptions!B14+Assumptions!B41*Assumptions!B15+Assumptions!B42*Assumptions!B16)</f>
        <v>6037.5</v>
      </c>
      <c r="C7" s="10" t="n">
        <f aca="false">C5*(Assumptions!B40*Assumptions!B14+Assumptions!B41*Assumptions!B15+Assumptions!B42*Assumptions!B16)</f>
        <v>10867.5</v>
      </c>
      <c r="D7" s="10" t="n">
        <f aca="false">D5*(Assumptions!B40*Assumptions!B14+Assumptions!B41*Assumptions!B15+Assumptions!B42*Assumptions!B16)</f>
        <v>16905</v>
      </c>
    </row>
    <row r="8" customFormat="false" ht="15" hidden="false" customHeight="false" outlineLevel="0" collapsed="false">
      <c r="A8" s="9" t="s">
        <v>60</v>
      </c>
      <c r="B8" s="17" t="n">
        <f aca="false">B6-B7</f>
        <v>2625</v>
      </c>
      <c r="C8" s="17" t="n">
        <f aca="false">C6-C7</f>
        <v>4725</v>
      </c>
      <c r="D8" s="17" t="n">
        <f aca="false">D6-D7</f>
        <v>7350</v>
      </c>
    </row>
    <row r="9" customFormat="false" ht="15" hidden="false" customHeight="false" outlineLevel="0" collapsed="false">
      <c r="A9" s="6" t="s">
        <v>61</v>
      </c>
      <c r="B9" s="12" t="n">
        <f aca="false">IF(B6=0,0,B8/B6)</f>
        <v>0.303030303030303</v>
      </c>
      <c r="C9" s="12" t="n">
        <f aca="false">IF(C6=0,0,C8/C6)</f>
        <v>0.303030303030303</v>
      </c>
      <c r="D9" s="12" t="n">
        <f aca="false">IF(D6=0,0,D8/D6)</f>
        <v>0.303030303030303</v>
      </c>
    </row>
    <row r="10" customFormat="false" ht="15" hidden="false" customHeight="false" outlineLevel="0" collapsed="false">
      <c r="A10" s="6" t="s">
        <v>62</v>
      </c>
      <c r="B10" s="15" t="n">
        <f aca="false">Assumptions!B30</f>
        <v>2942</v>
      </c>
      <c r="C10" s="15" t="n">
        <f aca="false">Assumptions!B31</f>
        <v>2942</v>
      </c>
      <c r="D10" s="15" t="n">
        <f aca="false">Assumptions!B31</f>
        <v>2942</v>
      </c>
    </row>
    <row r="11" customFormat="false" ht="15" hidden="false" customHeight="false" outlineLevel="0" collapsed="false">
      <c r="A11" s="9" t="s">
        <v>63</v>
      </c>
      <c r="B11" s="17" t="n">
        <f aca="false">B8-B10</f>
        <v>-317</v>
      </c>
      <c r="C11" s="17" t="n">
        <f aca="false">C8-C10</f>
        <v>1783</v>
      </c>
      <c r="D11" s="17" t="n">
        <f aca="false">D8-D10</f>
        <v>4408</v>
      </c>
    </row>
    <row r="14" customFormat="false" ht="15" hidden="false" customHeight="false" outlineLevel="0" collapsed="false">
      <c r="A14" s="4" t="s">
        <v>64</v>
      </c>
    </row>
    <row r="15" customFormat="false" ht="15" hidden="false" customHeight="false" outlineLevel="0" collapsed="false">
      <c r="A15" s="5"/>
      <c r="B15" s="5" t="s">
        <v>31</v>
      </c>
      <c r="C15" s="5" t="s">
        <v>32</v>
      </c>
      <c r="D15" s="5" t="s">
        <v>33</v>
      </c>
    </row>
    <row r="16" customFormat="false" ht="15" hidden="false" customHeight="false" outlineLevel="0" collapsed="false">
      <c r="A16" s="6" t="s">
        <v>57</v>
      </c>
      <c r="B16" s="16" t="n">
        <f aca="false">Assumptions!B36</f>
        <v>250</v>
      </c>
      <c r="C16" s="16" t="n">
        <f aca="false">Assumptions!C36</f>
        <v>450</v>
      </c>
      <c r="D16" s="16" t="n">
        <f aca="false">Assumptions!D36</f>
        <v>700</v>
      </c>
    </row>
    <row r="17" customFormat="false" ht="15" hidden="false" customHeight="false" outlineLevel="0" collapsed="false">
      <c r="A17" s="6" t="s">
        <v>58</v>
      </c>
      <c r="B17" s="10" t="n">
        <f aca="false">B16*(Assumptions!B40*Assumptions!B8+Assumptions!B41*Assumptions!B9+Assumptions!B42*Assumptions!B10)</f>
        <v>8662.5</v>
      </c>
      <c r="C17" s="10" t="n">
        <f aca="false">C16*(Assumptions!B40*Assumptions!B8+Assumptions!B41*Assumptions!B9+Assumptions!B42*Assumptions!B10)</f>
        <v>15592.5</v>
      </c>
      <c r="D17" s="10" t="n">
        <f aca="false">D16*(Assumptions!B40*Assumptions!B8+Assumptions!B41*Assumptions!B9+Assumptions!B42*Assumptions!B10)</f>
        <v>24255</v>
      </c>
    </row>
    <row r="18" customFormat="false" ht="15" hidden="false" customHeight="false" outlineLevel="0" collapsed="false">
      <c r="A18" s="6" t="s">
        <v>59</v>
      </c>
      <c r="B18" s="10" t="n">
        <f aca="false">B16*(Assumptions!B40*Assumptions!C14+Assumptions!B41*Assumptions!C15+Assumptions!B42*Assumptions!C16)</f>
        <v>2675</v>
      </c>
      <c r="C18" s="10" t="n">
        <f aca="false">C16*(Assumptions!B40*Assumptions!C14+Assumptions!B41*Assumptions!C15+Assumptions!B42*Assumptions!C16)</f>
        <v>4815</v>
      </c>
      <c r="D18" s="10" t="n">
        <f aca="false">D16*(Assumptions!B40*Assumptions!C14+Assumptions!B41*Assumptions!C15+Assumptions!B42*Assumptions!C16)</f>
        <v>7490</v>
      </c>
    </row>
    <row r="19" customFormat="false" ht="15" hidden="false" customHeight="false" outlineLevel="0" collapsed="false">
      <c r="A19" s="9" t="s">
        <v>60</v>
      </c>
      <c r="B19" s="17" t="n">
        <f aca="false">B17-B18</f>
        <v>5987.5</v>
      </c>
      <c r="C19" s="17" t="n">
        <f aca="false">C17-C18</f>
        <v>10777.5</v>
      </c>
      <c r="D19" s="17" t="n">
        <f aca="false">D17-D18</f>
        <v>16765</v>
      </c>
    </row>
    <row r="20" customFormat="false" ht="15" hidden="false" customHeight="false" outlineLevel="0" collapsed="false">
      <c r="A20" s="6" t="s">
        <v>61</v>
      </c>
      <c r="B20" s="12" t="n">
        <f aca="false">IF(B17=0,0,B19/B17)</f>
        <v>0.691197691197691</v>
      </c>
      <c r="C20" s="12" t="n">
        <f aca="false">IF(C17=0,0,C19/C17)</f>
        <v>0.691197691197691</v>
      </c>
      <c r="D20" s="12" t="n">
        <f aca="false">IF(D17=0,0,D19/D17)</f>
        <v>0.691197691197691</v>
      </c>
    </row>
    <row r="21" customFormat="false" ht="15" hidden="false" customHeight="false" outlineLevel="0" collapsed="false">
      <c r="A21" s="6" t="s">
        <v>62</v>
      </c>
      <c r="B21" s="15" t="n">
        <f aca="false">Assumptions!C30</f>
        <v>10742</v>
      </c>
      <c r="C21" s="15" t="n">
        <f aca="false">Assumptions!C31</f>
        <v>5742</v>
      </c>
      <c r="D21" s="15" t="n">
        <f aca="false">Assumptions!C31</f>
        <v>5742</v>
      </c>
    </row>
    <row r="22" customFormat="false" ht="15" hidden="false" customHeight="false" outlineLevel="0" collapsed="false">
      <c r="A22" s="9" t="s">
        <v>63</v>
      </c>
      <c r="B22" s="17" t="n">
        <f aca="false">B19-B21</f>
        <v>-4754.5</v>
      </c>
      <c r="C22" s="17" t="n">
        <f aca="false">C19-C21</f>
        <v>5035.5</v>
      </c>
      <c r="D22" s="17" t="n">
        <f aca="false">D19-D21</f>
        <v>11023</v>
      </c>
    </row>
    <row r="25" customFormat="false" ht="15" hidden="false" customHeight="false" outlineLevel="0" collapsed="false">
      <c r="A25" s="4" t="s">
        <v>65</v>
      </c>
    </row>
    <row r="26" customFormat="false" ht="15" hidden="false" customHeight="false" outlineLevel="0" collapsed="false">
      <c r="A26" s="5"/>
      <c r="B26" s="5" t="s">
        <v>31</v>
      </c>
      <c r="C26" s="5" t="s">
        <v>32</v>
      </c>
      <c r="D26" s="5" t="s">
        <v>33</v>
      </c>
    </row>
    <row r="27" customFormat="false" ht="15" hidden="false" customHeight="false" outlineLevel="0" collapsed="false">
      <c r="A27" s="6" t="s">
        <v>57</v>
      </c>
      <c r="B27" s="16" t="n">
        <f aca="false">Assumptions!B36</f>
        <v>250</v>
      </c>
      <c r="C27" s="16" t="n">
        <f aca="false">Assumptions!C36</f>
        <v>450</v>
      </c>
      <c r="D27" s="16" t="n">
        <f aca="false">Assumptions!D36</f>
        <v>700</v>
      </c>
    </row>
    <row r="28" customFormat="false" ht="15" hidden="false" customHeight="false" outlineLevel="0" collapsed="false">
      <c r="A28" s="6" t="s">
        <v>58</v>
      </c>
      <c r="B28" s="10" t="n">
        <f aca="false">B27*(Assumptions!B40*Assumptions!C8+Assumptions!B41*Assumptions!C9+Assumptions!B42*Assumptions!C10)</f>
        <v>11037.5</v>
      </c>
      <c r="C28" s="10" t="n">
        <f aca="false">C27*(Assumptions!B40*Assumptions!C8+Assumptions!B41*Assumptions!C9+Assumptions!B42*Assumptions!C10)</f>
        <v>19867.5</v>
      </c>
      <c r="D28" s="10" t="n">
        <f aca="false">D27*(Assumptions!B40*Assumptions!C8+Assumptions!B41*Assumptions!C9+Assumptions!B42*Assumptions!C10)</f>
        <v>30905</v>
      </c>
    </row>
    <row r="29" customFormat="false" ht="15" hidden="false" customHeight="false" outlineLevel="0" collapsed="false">
      <c r="A29" s="6" t="s">
        <v>59</v>
      </c>
      <c r="B29" s="10" t="n">
        <f aca="false">B27*(Assumptions!B40*Assumptions!B14+Assumptions!B41*Assumptions!B15+Assumptions!B42*Assumptions!B16)</f>
        <v>6037.5</v>
      </c>
      <c r="C29" s="10" t="n">
        <f aca="false">C27*(Assumptions!B40*Assumptions!B14+Assumptions!B41*Assumptions!B15+Assumptions!B42*Assumptions!B16)</f>
        <v>10867.5</v>
      </c>
      <c r="D29" s="10" t="n">
        <f aca="false">D27*(Assumptions!B40*Assumptions!B14+Assumptions!B41*Assumptions!B15+Assumptions!B42*Assumptions!B16)</f>
        <v>16905</v>
      </c>
    </row>
    <row r="30" customFormat="false" ht="15" hidden="false" customHeight="false" outlineLevel="0" collapsed="false">
      <c r="A30" s="9" t="s">
        <v>60</v>
      </c>
      <c r="B30" s="17" t="n">
        <f aca="false">B28-B29</f>
        <v>5000</v>
      </c>
      <c r="C30" s="17" t="n">
        <f aca="false">C28-C29</f>
        <v>9000</v>
      </c>
      <c r="D30" s="17" t="n">
        <f aca="false">D28-D29</f>
        <v>14000</v>
      </c>
    </row>
    <row r="31" customFormat="false" ht="15" hidden="false" customHeight="false" outlineLevel="0" collapsed="false">
      <c r="A31" s="6" t="s">
        <v>61</v>
      </c>
      <c r="B31" s="12" t="n">
        <f aca="false">IF(B28=0,0,B30/B28)</f>
        <v>0.453001132502831</v>
      </c>
      <c r="C31" s="12" t="n">
        <f aca="false">IF(C28=0,0,C30/C28)</f>
        <v>0.453001132502831</v>
      </c>
      <c r="D31" s="12" t="n">
        <f aca="false">IF(D28=0,0,D30/D28)</f>
        <v>0.453001132502831</v>
      </c>
    </row>
    <row r="32" customFormat="false" ht="15" hidden="false" customHeight="false" outlineLevel="0" collapsed="false">
      <c r="A32" s="6" t="s">
        <v>62</v>
      </c>
      <c r="B32" s="15" t="n">
        <f aca="false">Assumptions!B30</f>
        <v>2942</v>
      </c>
      <c r="C32" s="15" t="n">
        <f aca="false">Assumptions!B31</f>
        <v>2942</v>
      </c>
      <c r="D32" s="15" t="n">
        <f aca="false">Assumptions!B31</f>
        <v>2942</v>
      </c>
    </row>
    <row r="33" customFormat="false" ht="15" hidden="false" customHeight="false" outlineLevel="0" collapsed="false">
      <c r="A33" s="9" t="s">
        <v>63</v>
      </c>
      <c r="B33" s="17" t="n">
        <f aca="false">B30-B32</f>
        <v>2058</v>
      </c>
      <c r="C33" s="17" t="n">
        <f aca="false">C30-C32</f>
        <v>6058</v>
      </c>
      <c r="D33" s="17" t="n">
        <f aca="false">D30-D32</f>
        <v>11058</v>
      </c>
    </row>
    <row r="36" customFormat="false" ht="15" hidden="false" customHeight="false" outlineLevel="0" collapsed="false">
      <c r="A36" s="4" t="s">
        <v>66</v>
      </c>
    </row>
    <row r="37" customFormat="false" ht="15" hidden="false" customHeight="false" outlineLevel="0" collapsed="false">
      <c r="A37" s="5"/>
      <c r="B37" s="5" t="s">
        <v>31</v>
      </c>
      <c r="C37" s="5" t="s">
        <v>32</v>
      </c>
      <c r="D37" s="5" t="s">
        <v>33</v>
      </c>
    </row>
    <row r="38" customFormat="false" ht="15" hidden="false" customHeight="false" outlineLevel="0" collapsed="false">
      <c r="A38" s="6" t="s">
        <v>57</v>
      </c>
      <c r="B38" s="16" t="n">
        <f aca="false">Assumptions!B36</f>
        <v>250</v>
      </c>
      <c r="C38" s="16" t="n">
        <f aca="false">Assumptions!C36</f>
        <v>450</v>
      </c>
      <c r="D38" s="16" t="n">
        <f aca="false">Assumptions!D36</f>
        <v>700</v>
      </c>
    </row>
    <row r="39" customFormat="false" ht="15" hidden="false" customHeight="false" outlineLevel="0" collapsed="false">
      <c r="A39" s="6" t="s">
        <v>58</v>
      </c>
      <c r="B39" s="10" t="n">
        <f aca="false">B38*(Assumptions!B40*Assumptions!C8+Assumptions!B41*Assumptions!C9+Assumptions!B42*Assumptions!C10)</f>
        <v>11037.5</v>
      </c>
      <c r="C39" s="10" t="n">
        <f aca="false">C38*(Assumptions!B40*Assumptions!C8+Assumptions!B41*Assumptions!C9+Assumptions!B42*Assumptions!C10)</f>
        <v>19867.5</v>
      </c>
      <c r="D39" s="10" t="n">
        <f aca="false">D38*(Assumptions!B40*Assumptions!C8+Assumptions!B41*Assumptions!C9+Assumptions!B42*Assumptions!C10)</f>
        <v>30905</v>
      </c>
    </row>
    <row r="40" customFormat="false" ht="15" hidden="false" customHeight="false" outlineLevel="0" collapsed="false">
      <c r="A40" s="6" t="s">
        <v>59</v>
      </c>
      <c r="B40" s="10" t="n">
        <f aca="false">B38*(Assumptions!B40*Assumptions!C14+Assumptions!B41*Assumptions!C15+Assumptions!B42*Assumptions!C16)</f>
        <v>2675</v>
      </c>
      <c r="C40" s="10" t="n">
        <f aca="false">C38*(Assumptions!B40*Assumptions!C14+Assumptions!B41*Assumptions!C15+Assumptions!B42*Assumptions!C16)</f>
        <v>4815</v>
      </c>
      <c r="D40" s="10" t="n">
        <f aca="false">D38*(Assumptions!B40*Assumptions!C14+Assumptions!B41*Assumptions!C15+Assumptions!B42*Assumptions!C16)</f>
        <v>7490</v>
      </c>
    </row>
    <row r="41" customFormat="false" ht="15" hidden="false" customHeight="false" outlineLevel="0" collapsed="false">
      <c r="A41" s="9" t="s">
        <v>60</v>
      </c>
      <c r="B41" s="17" t="n">
        <f aca="false">B39-B40</f>
        <v>8362.5</v>
      </c>
      <c r="C41" s="17" t="n">
        <f aca="false">C39-C40</f>
        <v>15052.5</v>
      </c>
      <c r="D41" s="17" t="n">
        <f aca="false">D39-D40</f>
        <v>23415</v>
      </c>
    </row>
    <row r="42" customFormat="false" ht="15" hidden="false" customHeight="false" outlineLevel="0" collapsed="false">
      <c r="A42" s="6" t="s">
        <v>61</v>
      </c>
      <c r="B42" s="12" t="n">
        <f aca="false">IF(B39=0,0,B41/B39)</f>
        <v>0.757644394110985</v>
      </c>
      <c r="C42" s="12" t="n">
        <f aca="false">IF(C39=0,0,C41/C39)</f>
        <v>0.757644394110985</v>
      </c>
      <c r="D42" s="12" t="n">
        <f aca="false">IF(D39=0,0,D41/D39)</f>
        <v>0.757644394110985</v>
      </c>
    </row>
    <row r="43" customFormat="false" ht="15" hidden="false" customHeight="false" outlineLevel="0" collapsed="false">
      <c r="A43" s="6" t="s">
        <v>62</v>
      </c>
      <c r="B43" s="15" t="n">
        <f aca="false">Assumptions!C30</f>
        <v>10742</v>
      </c>
      <c r="C43" s="15" t="n">
        <f aca="false">Assumptions!C31</f>
        <v>5742</v>
      </c>
      <c r="D43" s="15" t="n">
        <f aca="false">Assumptions!C31</f>
        <v>5742</v>
      </c>
    </row>
    <row r="44" customFormat="false" ht="15" hidden="false" customHeight="false" outlineLevel="0" collapsed="false">
      <c r="A44" s="9" t="s">
        <v>63</v>
      </c>
      <c r="B44" s="17" t="n">
        <f aca="false">B41-B43</f>
        <v>-2379.5</v>
      </c>
      <c r="C44" s="17" t="n">
        <f aca="false">C41-C43</f>
        <v>9310.5</v>
      </c>
      <c r="D44" s="17" t="n">
        <f aca="false">D41-D43</f>
        <v>17673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67</v>
      </c>
    </row>
    <row r="3" customFormat="false" ht="23.85" hidden="false" customHeight="false" outlineLevel="0" collapsed="false">
      <c r="A3" s="5" t="s">
        <v>68</v>
      </c>
      <c r="B3" s="5" t="s">
        <v>69</v>
      </c>
      <c r="C3" s="5" t="s">
        <v>70</v>
      </c>
      <c r="D3" s="5" t="s">
        <v>71</v>
      </c>
    </row>
    <row r="4" customFormat="false" ht="15" hidden="false" customHeight="false" outlineLevel="0" collapsed="false">
      <c r="A4" s="6" t="s">
        <v>72</v>
      </c>
      <c r="B4" s="18" t="n">
        <f aca="false">Assumptions!B40*(Assumptions!B8-Assumptions!B14)+Assumptions!B41*(Assumptions!B9-Assumptions!B15)+Assumptions!B42*(Assumptions!B10-Assumptions!B16)</f>
        <v>10.5</v>
      </c>
      <c r="C4" s="15" t="n">
        <f aca="false">Assumptions!B30</f>
        <v>2942</v>
      </c>
      <c r="D4" s="19" t="n">
        <f aca="false">ROUNDUP(C4/B4,0)</f>
        <v>281</v>
      </c>
    </row>
    <row r="5" customFormat="false" ht="15" hidden="false" customHeight="false" outlineLevel="0" collapsed="false">
      <c r="A5" s="6" t="s">
        <v>73</v>
      </c>
      <c r="B5" s="18" t="n">
        <f aca="false">Assumptions!B40*(Assumptions!B8-Assumptions!C14)+Assumptions!B41*(Assumptions!B9-Assumptions!C15)+Assumptions!B42*(Assumptions!B10-Assumptions!C16)</f>
        <v>23.95</v>
      </c>
      <c r="C5" s="15" t="n">
        <f aca="false">Assumptions!C30</f>
        <v>10742</v>
      </c>
      <c r="D5" s="19" t="n">
        <f aca="false">ROUNDUP(C5/B5,0)</f>
        <v>449</v>
      </c>
    </row>
    <row r="6" customFormat="false" ht="15" hidden="false" customHeight="false" outlineLevel="0" collapsed="false">
      <c r="A6" s="6" t="s">
        <v>74</v>
      </c>
      <c r="B6" s="18" t="n">
        <f aca="false">Assumptions!B40*(Assumptions!C8-Assumptions!B14)+Assumptions!B41*(Assumptions!C9-Assumptions!B15)+Assumptions!B42*(Assumptions!C10-Assumptions!B16)</f>
        <v>20</v>
      </c>
      <c r="C6" s="15" t="n">
        <f aca="false">Assumptions!B30</f>
        <v>2942</v>
      </c>
      <c r="D6" s="19" t="n">
        <f aca="false">ROUNDUP(C6/B6,0)</f>
        <v>148</v>
      </c>
    </row>
    <row r="7" customFormat="false" ht="15" hidden="false" customHeight="false" outlineLevel="0" collapsed="false">
      <c r="A7" s="6" t="s">
        <v>75</v>
      </c>
      <c r="B7" s="18" t="n">
        <f aca="false">Assumptions!B40*(Assumptions!C8-Assumptions!C14)+Assumptions!B41*(Assumptions!C9-Assumptions!C15)+Assumptions!B42*(Assumptions!C10-Assumptions!C16)</f>
        <v>33.45</v>
      </c>
      <c r="C7" s="15" t="n">
        <f aca="false">Assumptions!C30</f>
        <v>10742</v>
      </c>
      <c r="D7" s="19" t="n">
        <f aca="false">ROUNDUP(C7/B7,0)</f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2026-03-15T16:26:32Z</dcterms:created>
  <dc:creator>openpyxl</dc:creator>
  <dc:description/>
  <dc:language>en-US</dc:language>
  <cp:lastModifiedBy/>
  <dcterms:modified xsi:type="dcterms:W3CDTF">2026-03-15T16:26:32Z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